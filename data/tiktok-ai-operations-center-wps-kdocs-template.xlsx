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worksheets/sheet12.xml" ContentType="application/vnd.openxmlformats-officedocument.spreadsheetml.worksheet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worksheets/sheet13.xml" ContentType="application/vnd.openxmlformats-officedocument.spreadsheetml.worksheet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worksheets/sheet14.xml" ContentType="application/vnd.openxmlformats-officedocument.spreadsheetml.worksheet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worksheets/sheet15.xml" ContentType="application/vnd.openxmlformats-officedocument.spreadsheetml.worksheet+xml"/>
  <Override PartName="/xl/tables/table53.xml" ContentType="application/vnd.openxmlformats-officedocument.spreadsheetml.table+xml"/>
  <Override PartName="/xl/tables/table5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a6c9f454b44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报首页" sheetId="1" r:id="R306f56cc3a004747"/>
    <x:sheet xmlns:r="http://schemas.openxmlformats.org/officeDocument/2006/relationships" name="店铺日汇总" sheetId="2" r:id="Rdc76b9c3390645dc"/>
    <x:sheet xmlns:r="http://schemas.openxmlformats.org/officeDocument/2006/relationships" name="商品数据" sheetId="3" r:id="Rb268268a4607473f"/>
    <x:sheet xmlns:r="http://schemas.openxmlformats.org/officeDocument/2006/relationships" name="运营动作" sheetId="4" r:id="R92e3901e877f4c8d"/>
    <x:sheet xmlns:r="http://schemas.openxmlformats.org/officeDocument/2006/relationships" name="发布趋势" sheetId="5" r:id="R597c828a92de47b7"/>
    <x:sheet xmlns:r="http://schemas.openxmlformats.org/officeDocument/2006/relationships" name="BD达人" sheetId="6" r:id="R727c1871b4144e59"/>
    <x:sheet xmlns:r="http://schemas.openxmlformats.org/officeDocument/2006/relationships" name="广告计划" sheetId="7" r:id="Rc599842fae834b5c"/>
    <x:sheet xmlns:r="http://schemas.openxmlformats.org/officeDocument/2006/relationships" name="短视频数据" sheetId="8" r:id="R5b2865b7d1b54a0f"/>
    <x:sheet xmlns:r="http://schemas.openxmlformats.org/officeDocument/2006/relationships" name="字段字典" sheetId="9" r:id="R5441e027d2df42da"/>
    <x:sheet xmlns:r="http://schemas.openxmlformats.org/officeDocument/2006/relationships" name="店铺字典" sheetId="10" r:id="R3f8f5872bab048fd"/>
    <x:sheet xmlns:r="http://schemas.openxmlformats.org/officeDocument/2006/relationships" name="五组排行" sheetId="11" r:id="R426a7f96cea64b08"/>
    <x:sheet xmlns:r="http://schemas.openxmlformats.org/officeDocument/2006/relationships" name="预警规则" sheetId="12" r:id="R48e0341c0fb8480d"/>
    <x:sheet xmlns:r="http://schemas.openxmlformats.org/officeDocument/2006/relationships" name="运营知识库" sheetId="13" r:id="R57d004341d7d47dc"/>
    <x:sheet xmlns:r="http://schemas.openxmlformats.org/officeDocument/2006/relationships" name="Agent调度" sheetId="14" r:id="Rf80724e3bf2a4d20"/>
    <x:sheet xmlns:r="http://schemas.openxmlformats.org/officeDocument/2006/relationships" name="云文档说明" sheetId="15" r:id="Rf22e6ed3bd144a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¥#,##0"/>
    <x:numFmt numFmtId="202" formatCode="0.00"/>
    <x:numFmt numFmtId="203" formatCode="#,##0"/>
    <x:numFmt numFmtId="204" formatCode="0.0"/>
    <x:numFmt numFmtId="205" formatCode="#,##0.00"/>
    <x:numFmt numFmtId="206" formatCode="&quot;¥&quot;#,##0"/>
    <x:numFmt numFmtId="207" formatCode="0.0%"/>
  </x:numFmts>
  <x:fonts count="19">
    <x:font>
      <x:sz val="11"/>
      <x:name val="Carlito"/>
    </x:font>
    <x:font>
      <x:sz val="10"/>
      <x:color rgb="FF172033"/>
      <x:name val="Microsoft YaHei"/>
    </x:font>
    <x:font>
      <x:b/>
      <x:sz val="16"/>
      <x:color rgb="FFFFFFFF"/>
      <x:name val="Microsoft YaHei"/>
    </x:font>
    <x:font>
      <x:sz val="10"/>
      <x:color rgb="FF64748B"/>
      <x:name val="Microsoft YaHei"/>
    </x:font>
    <x:font>
      <x:b/>
      <x:sz val="10"/>
      <x:color rgb="FFFFFFFF"/>
      <x:name val="Microsoft YaHei"/>
    </x:font>
    <x:font>
      <x:sz val="10"/>
      <x:color rgb="FF07865A"/>
      <x:name val="Microsoft YaHei"/>
    </x:font>
    <x:font>
      <x:sz val="10"/>
      <x:color rgb="FF9A6700"/>
      <x:name val="Microsoft YaHei"/>
    </x:font>
    <x:font>
      <x:b/>
      <x:sz val="15"/>
      <x:color rgb="FFFFFFFF"/>
      <x:name val="Carlito"/>
    </x:font>
    <x:font>
      <x:sz val="10"/>
      <x:color rgb="FF64748B"/>
      <x:name val="Carlito"/>
    </x:font>
    <x:font>
      <x:b/>
      <x:sz val="11"/>
      <x:color rgb="FF1E3A8A"/>
      <x:name val="Carlito"/>
    </x:font>
    <x:font>
      <x:sz val="11"/>
      <x:color rgb="FF0F172A"/>
      <x:name val="Carlito"/>
    </x:font>
    <x:font>
      <x:sz val="11"/>
      <x:color rgb="FF1E3A8A"/>
      <x:name val="Carlito"/>
    </x:font>
    <x:font>
      <x:b/>
      <x:sz val="13"/>
      <x:color rgb="FFFFFFFF"/>
      <x:name val="Carlito"/>
    </x:font>
    <x:font>
      <x:b/>
      <x:sz val="11"/>
      <x:color rgb="FF92400E"/>
      <x:name val="Carlito"/>
    </x:font>
    <x:font>
      <x:sz val="10"/>
      <x:color rgb="FF0F172A"/>
      <x:name val="Microsoft YaHei"/>
    </x:font>
    <x:font>
      <x:b/>
      <x:sz val="10"/>
      <x:color rgb="FF1E3A8A"/>
      <x:name val="Microsoft YaHei"/>
    </x:font>
    <x:font>
      <x:b/>
      <x:sz val="11"/>
      <x:color rgb="FF166534"/>
      <x:name val="Carlito"/>
    </x:font>
    <x:font>
      <x:b/>
      <x:sz val="11"/>
      <x:color rgb="FF991B1B"/>
      <x:name val="Carlito"/>
    </x:font>
    <x:font>
      <x:b/>
      <x:sz val="11"/>
      <x:color rgb="FFFFFFFF"/>
      <x:name val="Carlito"/>
    </x:font>
  </x:fonts>
  <x:fills count="32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EF2FF"/>
      </x:patternFill>
    </x:fill>
    <x:fill>
      <x:patternFill patternType="solid">
        <x:fgColor rgb="FF3157D5"/>
      </x:patternFill>
    </x:fill>
    <x:fill>
      <x:patternFill patternType="solid">
        <x:fgColor rgb="FFFFF9E8"/>
      </x:patternFill>
    </x:fill>
    <x:fill>
      <x:patternFill patternType="solid">
        <x:fgColor rgb="FFF0F7FF"/>
      </x:patternFill>
    </x:fill>
    <x:fill>
      <x:patternFill patternType="solid">
        <x:fgColor rgb="FFE8F7F0"/>
      </x:patternFill>
    </x:fill>
    <x:fill>
      <x:patternFill patternType="solid">
        <x:fgColor rgb="FFFFF4DE"/>
      </x:patternFill>
    </x:fill>
    <x:fill>
      <x:patternFill patternType="solid">
        <x:fgColor rgb="FF1E3A8A"/>
      </x:patternFill>
    </x:fill>
    <x:fill>
      <x:patternFill patternType="solid">
        <x:fgColor rgb="FFEFF6FF"/>
      </x:patternFill>
    </x:fill>
    <x:fill>
      <x:patternFill patternType="solid">
        <x:fgColor rgb="FFDBEAFE"/>
      </x:patternFill>
    </x:fill>
    <x:fill>
      <x:patternFill patternType="solid">
        <x:fgColor rgb="FFFFF7CC"/>
      </x:patternFill>
    </x:fill>
    <x:fill>
      <x:patternFill patternType="solid">
        <x:fgColor rgb="FFFEF3C7"/>
      </x:patternFill>
    </x:fill>
    <x:fill>
      <x:patternFill patternType="solid">
        <x:fgColor rgb="FF1E3A8A"/>
      </x:patternFill>
    </x:fill>
    <x:fill>
      <x:patternFill patternType="solid">
        <x:fgColor rgb="FFEFF6FF"/>
      </x:patternFill>
    </x:fill>
    <x:fill>
      <x:patternFill patternType="solid">
        <x:fgColor rgb="FFDBEAFE"/>
      </x:patternFill>
    </x:fill>
    <x:fill>
      <x:patternFill patternType="solid">
        <x:fgColor rgb="FFFFF7CC"/>
      </x:patternFill>
    </x:fill>
    <x:fill>
      <x:patternFill patternType="solid">
        <x:fgColor rgb="FFFEF3C7"/>
      </x:patternFill>
    </x:fill>
    <x:fill>
      <x:patternFill patternType="solid">
        <x:fgColor rgb="FF1E3A8A"/>
      </x:patternFill>
    </x:fill>
    <x:fill>
      <x:patternFill patternType="solid">
        <x:fgColor rgb="FFEFF6FF"/>
      </x:patternFill>
    </x:fill>
    <x:fill>
      <x:patternFill patternType="solid">
        <x:fgColor rgb="FFDBEAFE"/>
      </x:patternFill>
    </x:fill>
    <x:fill>
      <x:patternFill patternType="solid">
        <x:fgColor rgb="FFFFF7CC"/>
      </x:patternFill>
    </x:fill>
    <x:fill>
      <x:patternFill patternType="solid">
        <x:fgColor rgb="FFFEF3C7"/>
      </x:patternFill>
    </x:fill>
    <x:fill>
      <x:patternFill patternType="solid">
        <x:fgColor rgb="FF1E3A8A"/>
      </x:patternFill>
    </x:fill>
    <x:fill>
      <x:patternFill patternType="solid">
        <x:fgColor rgb="FFEFF6FF"/>
      </x:patternFill>
    </x:fill>
    <x:fill>
      <x:patternFill patternType="solid">
        <x:fgColor rgb="FFDBEAFE"/>
      </x:patternFill>
    </x:fill>
    <x:fill>
      <x:patternFill patternType="solid">
        <x:fgColor rgb="FFFFF7CC"/>
      </x:patternFill>
    </x:fill>
    <x:fill>
      <x:patternFill patternType="solid">
        <x:fgColor rgb="FFFEF3C7"/>
      </x:patternFill>
    </x:fill>
    <x:fill>
      <x:patternFill patternType="solid">
        <x:fgColor rgb="FFDFF7F3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</x:fills>
  <x:borders count="23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AFC0F5"/>
      </x:left>
      <x:right style="thin">
        <x:color rgb="FFAFC0F5"/>
      </x:right>
      <x:top style="thin">
        <x:color rgb="FFAFC0F5"/>
      </x:top>
      <x:bottom style="thin">
        <x:color rgb="FFAFC0F5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CBD5E1"/>
      </x:right>
      <x:top style="thin">
        <x:color rgb="FFD9E1F2"/>
      </x:top>
      <x:bottom style="thin">
        <x:color rgb="FFD9E1F2"/>
      </x:bottom>
    </x:border>
    <x:border>
      <x:left style="thin">
        <x:color rgb="FFCBD5E1"/>
      </x:left>
      <x:right style="thin">
        <x:color rgb="FFD9E1F2"/>
      </x:right>
      <x:top style="thin">
        <x:color rgb="FFD9E1F2"/>
      </x:top>
      <x:bottom style="thin">
        <x:color rgb="FFCBD5E1"/>
      </x:bottom>
    </x:border>
    <x:border>
      <x:left style="thin">
        <x:color rgb="FFD9E1F2"/>
      </x:left>
      <x:right style="thin">
        <x:color rgb="FFCBD5E1"/>
      </x:right>
      <x:top style="thin">
        <x:color rgb="FFD9E1F2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left" vertical="center" wrapText="1"/>
    </x:xf>
    <x:xf numFmtId="0" fontId="2" fillId="2" borderId="3" xfId="0" applyNumberFormat="1" applyFont="1" applyFill="1" applyBorder="1" applyAlignment="1">
      <x:alignment horizontal="left" vertical="center" wrapText="1"/>
    </x:xf>
    <x:xf numFmtId="0" fontId="2" fillId="2" borderId="4" xfId="0" applyNumberFormat="1" applyFont="1" applyFill="1" applyBorder="1" applyAlignment="1">
      <x:alignment horizontal="left"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6" xfId="0" applyNumberFormat="1" applyFont="1" applyFill="1" applyBorder="1" applyAlignment="1">
      <x:alignment horizontal="left"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horizontal="center" vertical="center" wrapText="1"/>
    </x:xf>
    <x:xf numFmtId="200" fontId="1" fillId="0" borderId="5" xfId="0" applyNumberFormat="1" applyFont="1" applyFill="1" applyBorder="1" applyAlignment="1">
      <x:alignment vertical="center" wrapText="1"/>
    </x:xf>
    <x:xf numFmtId="200" fontId="1" fillId="0" borderId="7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8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 wrapText="1"/>
    </x:xf>
    <x:xf numFmtId="202" fontId="1" fillId="0" borderId="8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0" fontId="1" fillId="5" borderId="5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0" fontId="1" fillId="5" borderId="7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</x:xf>
    <x:xf numFmtId="201" fontId="1" fillId="5" borderId="8" xfId="0" applyNumberFormat="1" applyFont="1" applyFill="1" applyBorder="1" applyAlignment="1">
      <x:alignment vertical="center" wrapText="1"/>
    </x:xf>
    <x:xf numFmtId="202" fontId="1" fillId="5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1" fillId="6" borderId="8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 wrapText="1"/>
    </x:xf>
    <x:xf numFmtId="203" fontId="1" fillId="0" borderId="8" xfId="0" applyNumberFormat="1" applyFont="1" applyFill="1" applyBorder="1" applyAlignment="1">
      <x:alignment vertical="center" wrapText="1"/>
    </x:xf>
    <x:xf numFmtId="203" fontId="1" fillId="5" borderId="0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203" fontId="1" fillId="5" borderId="8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204" fontId="1" fillId="5" borderId="8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5" fontId="1" fillId="0" borderId="8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/>
    <x:xf numFmtId="205" fontId="1" fillId="5" borderId="0" xfId="0" applyNumberFormat="1" applyFont="1" applyFill="1" applyBorder="1" applyAlignment="1">
      <x:alignment vertical="center" wrapText="1"/>
    </x:xf>
    <x:xf numFmtId="205" fontId="1" fillId="5" borderId="8" xfId="0" applyNumberFormat="1" applyFont="1" applyFill="1" applyBorder="1" applyAlignment="1">
      <x:alignment vertical="center" wrapText="1"/>
    </x:xf>
    <x:xf numFmtId="205" fontId="0" fillId="5" borderId="0" xfId="0" applyNumberFormat="1" applyFont="1" applyFill="1" applyBorder="1"/>
    <x:xf numFmtId="0" fontId="1" fillId="3" borderId="7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0" fontId="1" fillId="3" borderId="9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xfId="0" applyNumberFormat="1" applyFont="1" applyFill="1" applyBorder="0"/>
    <x:xf numFmtId="0" fontId="9" fillId="11" xfId="0" applyNumberFormat="1" applyFont="1" applyFill="1" applyBorder="0" applyAlignment="1">
      <x:alignment wrapText="1"/>
    </x:xf>
    <x:xf numFmtId="0" fontId="9" fillId="11" xfId="0" applyNumberFormat="1" applyFont="1" applyFill="1" applyBorder="0" applyAlignment="1">
      <x:alignment vertical="center"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vertical="center" wrapText="1"/>
    </x:xf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/>
    <x:xf numFmtId="203" fontId="0" fillId="0" borderId="0" xfId="0" applyNumberFormat="1" applyFont="1" applyFill="1" applyBorder="1"/>
    <x:xf numFmtId="203" fontId="0" fillId="10" borderId="0" xfId="0" applyNumberFormat="1" applyFont="1" applyFill="1" applyBorder="1"/>
    <x:xf numFmtId="0" fontId="10" fillId="10" borderId="0" xfId="0" applyNumberFormat="1" applyFont="1" applyFill="1" applyBorder="1"/>
    <x:xf numFmtId="203" fontId="10" fillId="10" borderId="0" xfId="0" applyNumberFormat="1" applyFont="1" applyFill="1" applyBorder="1"/>
    <x:xf numFmtId="206" fontId="0" fillId="0" borderId="0" xfId="0" applyNumberFormat="1" applyFont="1" applyFill="1" applyBorder="1"/>
    <x:xf numFmtId="206" fontId="0" fillId="10" borderId="0" xfId="0" applyNumberFormat="1" applyFont="1" applyFill="1" applyBorder="1"/>
    <x:xf numFmtId="206" fontId="10" fillId="10" borderId="0" xfId="0" applyNumberFormat="1" applyFont="1" applyFill="1" applyBorder="1"/>
    <x:xf numFmtId="207" fontId="0" fillId="0" borderId="0" xfId="0" applyNumberFormat="1" applyFont="1" applyFill="1" applyBorder="1"/>
    <x:xf numFmtId="207" fontId="0" fillId="10" borderId="0" xfId="0" applyNumberFormat="1" applyFont="1" applyFill="1" applyBorder="1"/>
    <x:xf numFmtId="207" fontId="10" fillId="10" borderId="0" xfId="0" applyNumberFormat="1" applyFont="1" applyFill="1" applyBorder="1"/>
    <x:xf numFmtId="202" fontId="0" fillId="10" borderId="0" xfId="0" applyNumberFormat="1" applyFont="1" applyFill="1" applyBorder="1"/>
    <x:xf numFmtId="202" fontId="10" fillId="10" borderId="0" xfId="0" applyNumberFormat="1" applyFont="1" applyFill="1" applyBorder="1"/>
    <x:xf numFmtId="202" fontId="10" fillId="12" borderId="0" xfId="0" applyNumberFormat="1" applyFont="1" applyFill="1" applyBorder="1" applyAlignment="1">
      <x:alignment vertical="center" wrapText="1"/>
    </x:xf>
    <x:xf numFmtId="203" fontId="10" fillId="12" borderId="0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  <x:xf numFmtId="0" fontId="7" fillId="14" borderId="0" xfId="0" applyNumberFormat="1" applyFont="1" applyFill="1" applyBorder="1" applyAlignment="1">
      <x:alignment vertical="center"/>
    </x:xf>
    <x:xf numFmtId="0" fontId="8" fillId="15" borderId="0" xfId="0" applyNumberFormat="1" applyFont="1" applyFill="1" applyBorder="1" applyAlignment="1">
      <x:alignment vertical="center" wrapText="1"/>
    </x:xf>
    <x:xf numFmtId="0" fontId="9" fillId="16" xfId="0" applyNumberFormat="1" applyFont="1" applyFill="1" applyBorder="0" applyAlignment="1">
      <x:alignment vertical="center" wrapText="1"/>
    </x:xf>
    <x:xf numFmtId="0" fontId="10" fillId="17" borderId="0" xfId="0" applyNumberFormat="1" applyFont="1" applyFill="1" applyBorder="1" applyAlignment="1">
      <x:alignment vertical="center" wrapText="1"/>
    </x:xf>
    <x:xf numFmtId="0" fontId="11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/>
    <x:xf numFmtId="0" fontId="10" fillId="15" borderId="0" xfId="0" applyNumberFormat="1" applyFont="1" applyFill="1" applyBorder="1"/>
    <x:xf numFmtId="203" fontId="10" fillId="15" borderId="0" xfId="0" applyNumberFormat="1" applyFont="1" applyFill="1" applyBorder="1"/>
    <x:xf numFmtId="206" fontId="10" fillId="15" borderId="0" xfId="0" applyNumberFormat="1" applyFont="1" applyFill="1" applyBorder="1"/>
    <x:xf numFmtId="204" fontId="10" fillId="10" borderId="0" xfId="0" applyNumberFormat="1" applyFont="1" applyFill="1" applyBorder="1"/>
    <x:xf numFmtId="204" fontId="10" fillId="15" borderId="0" xfId="0" applyNumberFormat="1" applyFont="1" applyFill="1" applyBorder="1"/>
    <x:xf numFmtId="202" fontId="10" fillId="15" borderId="0" xfId="0" applyNumberFormat="1" applyFont="1" applyFill="1" applyBorder="1"/>
    <x:xf numFmtId="202" fontId="10" fillId="17" borderId="0" xfId="0" applyNumberFormat="1" applyFont="1" applyFill="1" applyBorder="1" applyAlignment="1">
      <x:alignment vertical="center" wrapText="1"/>
    </x:xf>
    <x:xf numFmtId="203" fontId="10" fillId="17" borderId="0" xfId="0" applyNumberFormat="1" applyFont="1" applyFill="1" applyBorder="1" applyAlignment="1">
      <x:alignment vertical="center" wrapText="1"/>
    </x:xf>
    <x:xf numFmtId="0" fontId="12" fillId="14" borderId="0" xfId="0" applyNumberFormat="1" applyFont="1" applyFill="1" applyBorder="1"/>
    <x:xf numFmtId="0" fontId="9" fillId="16" borderId="0" xfId="0" applyNumberFormat="1" applyFont="1" applyFill="1" applyBorder="1"/>
    <x:xf numFmtId="0" fontId="10" fillId="15" borderId="0" xfId="0" applyNumberFormat="1" applyFont="1" applyFill="1" applyBorder="1" applyAlignment="1">
      <x:alignment vertical="center" wrapText="1"/>
    </x:xf>
    <x:xf numFmtId="0" fontId="13" fillId="18" borderId="0" xfId="0" applyNumberFormat="1" applyFont="1" applyFill="1" applyBorder="1" applyAlignment="1">
      <x:alignment wrapText="1"/>
    </x:xf>
    <x:xf numFmtId="0" fontId="7" fillId="19" borderId="0" xfId="0" applyNumberFormat="1" applyFont="1" applyFill="1" applyBorder="1" applyAlignment="1">
      <x:alignment vertical="center"/>
    </x:xf>
    <x:xf numFmtId="0" fontId="8" fillId="20" borderId="0" xfId="0" applyNumberFormat="1" applyFont="1" applyFill="1" applyBorder="1" applyAlignment="1">
      <x:alignment vertical="center" wrapText="1"/>
    </x:xf>
    <x:xf numFmtId="0" fontId="9" fillId="21" xfId="0" applyNumberFormat="1" applyFont="1" applyFill="1" applyBorder="0" applyAlignment="1">
      <x:alignment vertical="center" wrapText="1"/>
    </x:xf>
    <x:xf numFmtId="0" fontId="10" fillId="22" borderId="0" xfId="0" applyNumberFormat="1" applyFont="1" applyFill="1" applyBorder="1" applyAlignment="1">
      <x:alignment vertical="center" wrapText="1"/>
    </x:xf>
    <x:xf numFmtId="0" fontId="11" fillId="20" borderId="0" xfId="0" applyNumberFormat="1" applyFont="1" applyFill="1" applyBorder="1" applyAlignment="1">
      <x:alignment wrapText="1"/>
    </x:xf>
    <x:xf numFmtId="0" fontId="9" fillId="20" borderId="0" xfId="0" applyNumberFormat="1" applyFont="1" applyFill="1" applyBorder="1"/>
    <x:xf numFmtId="0" fontId="10" fillId="20" borderId="0" xfId="0" applyNumberFormat="1" applyFont="1" applyFill="1" applyBorder="1"/>
    <x:xf numFmtId="203" fontId="10" fillId="20" borderId="0" xfId="0" applyNumberFormat="1" applyFont="1" applyFill="1" applyBorder="1"/>
    <x:xf numFmtId="206" fontId="10" fillId="20" borderId="0" xfId="0" applyNumberFormat="1" applyFont="1" applyFill="1" applyBorder="1"/>
    <x:xf numFmtId="204" fontId="10" fillId="20" borderId="0" xfId="0" applyNumberFormat="1" applyFont="1" applyFill="1" applyBorder="1"/>
    <x:xf numFmtId="202" fontId="10" fillId="20" borderId="0" xfId="0" applyNumberFormat="1" applyFont="1" applyFill="1" applyBorder="1"/>
    <x:xf numFmtId="202" fontId="10" fillId="22" borderId="0" xfId="0" applyNumberFormat="1" applyFont="1" applyFill="1" applyBorder="1" applyAlignment="1">
      <x:alignment vertical="center" wrapText="1"/>
    </x:xf>
    <x:xf numFmtId="203" fontId="10" fillId="22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7" fillId="19" borderId="0" xfId="0" applyNumberFormat="1" applyFont="1" applyFill="1" applyBorder="1"/>
    <x:xf numFmtId="0" fontId="0" fillId="20" borderId="0" xfId="0" applyNumberFormat="1" applyFont="1" applyFill="1" applyBorder="1"/>
    <x:xf numFmtId="0" fontId="8" fillId="20" borderId="0" xfId="0" applyNumberFormat="1" applyFont="1" applyFill="1" applyBorder="1"/>
    <x:xf numFmtId="0" fontId="8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9" fillId="21" borderId="0" xfId="0" applyNumberFormat="1" applyFont="1" applyFill="1" applyBorder="1"/>
    <x:xf numFmtId="0" fontId="9" fillId="21" xfId="0" applyNumberFormat="1" applyFont="1" applyFill="1" applyBorder="0"/>
    <x:xf numFmtId="0" fontId="9" fillId="21" xfId="0" applyNumberFormat="1" applyFont="1" applyFill="1" applyBorder="0" applyAlignment="1">
      <x:alignment wrapText="1"/>
    </x:xf>
    <x:xf numFmtId="0" fontId="0" fillId="22" borderId="0" xfId="0" applyNumberFormat="1" applyFont="1" applyFill="1" applyBorder="1"/>
    <x:xf numFmtId="0" fontId="10" fillId="22" borderId="0" xfId="0" applyNumberFormat="1" applyFont="1" applyFill="1" applyBorder="1"/>
    <x:xf numFmtId="0" fontId="10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3" fillId="23" borderId="0" xfId="0" applyNumberFormat="1" applyFont="1" applyFill="1" applyBorder="1"/>
    <x:xf numFmtId="0" fontId="13" fillId="23" borderId="0" xfId="0" applyNumberFormat="1" applyFont="1" applyFill="1" applyBorder="1" applyAlignment="1">
      <x:alignment wrapText="1"/>
    </x:xf>
    <x:xf numFmtId="0" fontId="7" fillId="24" borderId="0" xfId="0" applyNumberFormat="1" applyFont="1" applyFill="1" applyBorder="1" applyAlignment="1">
      <x:alignment vertical="center"/>
    </x:xf>
    <x:xf numFmtId="0" fontId="8" fillId="25" borderId="0" xfId="0" applyNumberFormat="1" applyFont="1" applyFill="1" applyBorder="1" applyAlignment="1">
      <x:alignment vertical="center" wrapText="1"/>
    </x:xf>
    <x:xf numFmtId="0" fontId="9" fillId="26" xfId="0" applyNumberFormat="1" applyFont="1" applyFill="1" applyBorder="0" applyAlignment="1">
      <x:alignment vertical="center" wrapText="1"/>
    </x:xf>
    <x:xf numFmtId="0" fontId="10" fillId="27" borderId="0" xfId="0" applyNumberFormat="1" applyFont="1" applyFill="1" applyBorder="1" applyAlignment="1">
      <x:alignment vertical="center" wrapText="1"/>
    </x:xf>
    <x:xf numFmtId="0" fontId="11" fillId="25" borderId="0" xfId="0" applyNumberFormat="1" applyFont="1" applyFill="1" applyBorder="1" applyAlignment="1">
      <x:alignment wrapText="1"/>
    </x:xf>
    <x:xf numFmtId="0" fontId="9" fillId="25" borderId="0" xfId="0" applyNumberFormat="1" applyFont="1" applyFill="1" applyBorder="1"/>
    <x:xf numFmtId="0" fontId="10" fillId="25" borderId="0" xfId="0" applyNumberFormat="1" applyFont="1" applyFill="1" applyBorder="1"/>
    <x:xf numFmtId="203" fontId="10" fillId="25" borderId="0" xfId="0" applyNumberFormat="1" applyFont="1" applyFill="1" applyBorder="1"/>
    <x:xf numFmtId="206" fontId="10" fillId="25" borderId="0" xfId="0" applyNumberFormat="1" applyFont="1" applyFill="1" applyBorder="1"/>
    <x:xf numFmtId="204" fontId="10" fillId="25" borderId="0" xfId="0" applyNumberFormat="1" applyFont="1" applyFill="1" applyBorder="1"/>
    <x:xf numFmtId="202" fontId="10" fillId="25" borderId="0" xfId="0" applyNumberFormat="1" applyFont="1" applyFill="1" applyBorder="1"/>
    <x:xf numFmtId="202" fontId="10" fillId="27" borderId="0" xfId="0" applyNumberFormat="1" applyFont="1" applyFill="1" applyBorder="1" applyAlignment="1">
      <x:alignment vertical="center" wrapText="1"/>
    </x:xf>
    <x:xf numFmtId="203" fontId="10" fillId="27" borderId="0" xfId="0" applyNumberFormat="1" applyFont="1" applyFill="1" applyBorder="1" applyAlignment="1">
      <x:alignment vertical="center" wrapText="1"/>
    </x:xf>
    <x:xf numFmtId="0" fontId="13" fillId="28" borderId="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horizontal="center" vertical="center" wrapText="1"/>
    </x:xf>
    <x:xf numFmtId="0" fontId="4" fillId="4" borderId="12" xfId="0" applyNumberFormat="1" applyFont="1" applyFill="1" applyBorder="1" applyAlignment="1">
      <x:alignment horizontal="center" vertical="center" wrapText="1"/>
    </x:xf>
    <x:xf numFmtId="0" fontId="1" fillId="5" borderId="13" xfId="0" applyNumberFormat="1" applyFont="1" applyFill="1" applyBorder="1" applyAlignment="1">
      <x:alignment vertical="center" wrapText="1"/>
    </x:xf>
    <x:xf numFmtId="0" fontId="1" fillId="5" borderId="14" xfId="0" applyNumberFormat="1" applyFont="1" applyFill="1" applyBorder="1" applyAlignment="1">
      <x:alignment vertical="center" wrapText="1"/>
    </x:xf>
    <x:xf numFmtId="0" fontId="1" fillId="5" borderId="15" xfId="0" applyNumberFormat="1" applyFont="1" applyFill="1" applyBorder="1" applyAlignment="1">
      <x:alignment vertical="center" wrapText="1"/>
    </x:xf>
    <x:xf numFmtId="0" fontId="1" fillId="5" borderId="16" xfId="0" applyNumberFormat="1" applyFont="1" applyFill="1" applyBorder="1" applyAlignment="1">
      <x:alignment vertical="center" wrapText="1"/>
    </x:xf>
    <x:xf numFmtId="0" fontId="1" fillId="6" borderId="13" xfId="0" applyNumberFormat="1" applyFont="1" applyFill="1" applyBorder="1" applyAlignment="1">
      <x:alignment vertical="center" wrapText="1"/>
    </x:xf>
    <x:xf numFmtId="0" fontId="1" fillId="6" borderId="14" xfId="0" applyNumberFormat="1" applyFont="1" applyFill="1" applyBorder="1" applyAlignment="1">
      <x:alignment vertical="center" wrapText="1"/>
    </x:xf>
    <x:xf numFmtId="0" fontId="1" fillId="6" borderId="15" xfId="0" applyNumberFormat="1" applyFont="1" applyFill="1" applyBorder="1" applyAlignment="1">
      <x:alignment vertical="center" wrapText="1"/>
    </x:xf>
    <x:xf numFmtId="0" fontId="1" fillId="6" borderId="16" xfId="0" applyNumberFormat="1" applyFont="1" applyFill="1" applyBorder="1" applyAlignment="1">
      <x:alignment vertical="center" wrapText="1"/>
    </x:xf>
    <x:xf numFmtId="0" fontId="4" fillId="24" borderId="11" xfId="0" applyNumberFormat="1" applyFont="1" applyFill="1" applyBorder="1" applyAlignment="1">
      <x:alignment horizontal="center" vertical="center" wrapText="1"/>
    </x:xf>
    <x:xf numFmtId="0" fontId="4" fillId="24" borderId="12" xfId="0" applyNumberFormat="1" applyFont="1" applyFill="1" applyBorder="1" applyAlignment="1">
      <x:alignment horizontal="center" vertical="center" wrapText="1"/>
    </x:xf>
    <x:xf numFmtId="0" fontId="1" fillId="27" borderId="13" xfId="0" applyNumberFormat="1" applyFont="1" applyFill="1" applyBorder="1" applyAlignment="1">
      <x:alignment vertical="center" wrapText="1"/>
    </x:xf>
    <x:xf numFmtId="0" fontId="1" fillId="27" borderId="14" xfId="0" applyNumberFormat="1" applyFont="1" applyFill="1" applyBorder="1" applyAlignment="1">
      <x:alignment vertical="center" wrapText="1"/>
    </x:xf>
    <x:xf numFmtId="0" fontId="1" fillId="27" borderId="15" xfId="0" applyNumberFormat="1" applyFont="1" applyFill="1" applyBorder="1" applyAlignment="1">
      <x:alignment vertical="center" wrapText="1"/>
    </x:xf>
    <x:xf numFmtId="0" fontId="1" fillId="27" borderId="16" xfId="0" applyNumberFormat="1" applyFont="1" applyFill="1" applyBorder="1" applyAlignment="1">
      <x:alignment vertical="center" wrapText="1"/>
    </x:xf>
    <x:xf numFmtId="0" fontId="14" fillId="27" borderId="13" xfId="0" applyNumberFormat="1" applyFont="1" applyFill="1" applyBorder="1" applyAlignment="1">
      <x:alignment vertical="center" wrapText="1"/>
    </x:xf>
    <x:xf numFmtId="0" fontId="14" fillId="27" borderId="14" xfId="0" applyNumberFormat="1" applyFont="1" applyFill="1" applyBorder="1" applyAlignment="1">
      <x:alignment vertical="center" wrapText="1"/>
    </x:xf>
    <x:xf numFmtId="0" fontId="14" fillId="27" borderId="15" xfId="0" applyNumberFormat="1" applyFont="1" applyFill="1" applyBorder="1" applyAlignment="1">
      <x:alignment vertical="center" wrapText="1"/>
    </x:xf>
    <x:xf numFmtId="0" fontId="14" fillId="27" borderId="16" xfId="0" applyNumberFormat="1" applyFont="1" applyFill="1" applyBorder="1" applyAlignment="1">
      <x:alignment vertical="center" wrapText="1"/>
    </x:xf>
    <x:xf numFmtId="0" fontId="1" fillId="25" borderId="13" xfId="0" applyNumberFormat="1" applyFont="1" applyFill="1" applyBorder="1" applyAlignment="1">
      <x:alignment vertical="center" wrapText="1"/>
    </x:xf>
    <x:xf numFmtId="0" fontId="1" fillId="25" borderId="14" xfId="0" applyNumberFormat="1" applyFont="1" applyFill="1" applyBorder="1" applyAlignment="1">
      <x:alignment vertical="center" wrapText="1"/>
    </x:xf>
    <x:xf numFmtId="0" fontId="1" fillId="25" borderId="15" xfId="0" applyNumberFormat="1" applyFont="1" applyFill="1" applyBorder="1" applyAlignment="1">
      <x:alignment vertical="center" wrapText="1"/>
    </x:xf>
    <x:xf numFmtId="0" fontId="1" fillId="25" borderId="16" xfId="0" applyNumberFormat="1" applyFont="1" applyFill="1" applyBorder="1" applyAlignment="1">
      <x:alignment vertical="center" wrapText="1"/>
    </x:xf>
    <x:xf numFmtId="0" fontId="14" fillId="25" borderId="13" xfId="0" applyNumberFormat="1" applyFont="1" applyFill="1" applyBorder="1" applyAlignment="1">
      <x:alignment vertical="center" wrapText="1"/>
    </x:xf>
    <x:xf numFmtId="0" fontId="14" fillId="25" borderId="14" xfId="0" applyNumberFormat="1" applyFont="1" applyFill="1" applyBorder="1" applyAlignment="1">
      <x:alignment vertical="center" wrapText="1"/>
    </x:xf>
    <x:xf numFmtId="0" fontId="14" fillId="25" borderId="15" xfId="0" applyNumberFormat="1" applyFont="1" applyFill="1" applyBorder="1" applyAlignment="1">
      <x:alignment vertical="center" wrapText="1"/>
    </x:xf>
    <x:xf numFmtId="0" fontId="14" fillId="25" borderId="16" xfId="0" applyNumberFormat="1" applyFont="1" applyFill="1" applyBorder="1" applyAlignment="1">
      <x:alignment vertical="center" wrapText="1"/>
    </x:xf>
    <x:xf numFmtId="0" fontId="14" fillId="28" borderId="13" xfId="0" applyNumberFormat="1" applyFont="1" applyFill="1" applyBorder="1" applyAlignment="1">
      <x:alignment vertical="center" wrapText="1"/>
    </x:xf>
    <x:xf numFmtId="0" fontId="14" fillId="28" borderId="15" xfId="0" applyNumberFormat="1" applyFont="1" applyFill="1" applyBorder="1" applyAlignment="1">
      <x:alignment vertical="center" wrapText="1"/>
    </x:xf>
    <x:xf numFmtId="0" fontId="15" fillId="28" borderId="13" xfId="0" applyNumberFormat="1" applyFont="1" applyFill="1" applyBorder="1" applyAlignment="1">
      <x:alignment vertical="center" wrapText="1"/>
    </x:xf>
    <x:xf numFmtId="0" fontId="15" fillId="28" borderId="15" xfId="0" applyNumberFormat="1" applyFont="1" applyFill="1" applyBorder="1" applyAlignment="1">
      <x:alignment vertical="center" wrapText="1"/>
    </x:xf>
    <x:xf numFmtId="0" fontId="15" fillId="28" borderId="13" xfId="0" applyNumberFormat="1" applyFont="1" applyFill="1" applyBorder="1" applyAlignment="1">
      <x:alignment horizontal="center" vertical="center" wrapText="1"/>
    </x:xf>
    <x:xf numFmtId="0" fontId="15" fillId="28" borderId="15" xfId="0" applyNumberFormat="1" applyFont="1" applyFill="1" applyBorder="1" applyAlignment="1">
      <x:alignment horizontal="center" vertical="center" wrapText="1"/>
    </x:xf>
    <x:xf numFmtId="0" fontId="14" fillId="26" borderId="14" xfId="0" applyNumberFormat="1" applyFont="1" applyFill="1" applyBorder="1" applyAlignment="1">
      <x:alignment vertical="center" wrapText="1"/>
    </x:xf>
    <x:xf numFmtId="0" fontId="14" fillId="26" borderId="16" xfId="0" applyNumberFormat="1" applyFont="1" applyFill="1" applyBorder="1" applyAlignment="1">
      <x:alignment vertical="center" wrapText="1"/>
    </x:xf>
    <x:xf numFmtId="0" fontId="15" fillId="26" borderId="14" xfId="0" applyNumberFormat="1" applyFont="1" applyFill="1" applyBorder="1" applyAlignment="1">
      <x:alignment vertical="center" wrapText="1"/>
    </x:xf>
    <x:xf numFmtId="0" fontId="15" fillId="26" borderId="16" xfId="0" applyNumberFormat="1" applyFont="1" applyFill="1" applyBorder="1" applyAlignment="1">
      <x:alignment vertical="center" wrapText="1"/>
    </x:xf>
    <x:xf numFmtId="0" fontId="15" fillId="26" borderId="14" xfId="0" applyNumberFormat="1" applyFont="1" applyFill="1" applyBorder="1" applyAlignment="1">
      <x:alignment horizontal="right" vertical="center" wrapText="1"/>
    </x:xf>
    <x:xf numFmtId="0" fontId="15" fillId="26" borderId="16" xfId="0" applyNumberFormat="1" applyFont="1" applyFill="1" applyBorder="1" applyAlignment="1">
      <x:alignment horizontal="right" vertical="center" wrapText="1"/>
    </x:xf>
    <x:xf numFmtId="0" fontId="10" fillId="25" borderId="11" xfId="0" applyNumberFormat="1" applyFont="1" applyFill="1" applyBorder="1"/>
    <x:xf numFmtId="0" fontId="10" fillId="25" borderId="17" xfId="0" applyNumberFormat="1" applyFont="1" applyFill="1" applyBorder="1"/>
    <x:xf numFmtId="203" fontId="10" fillId="25" borderId="17" xfId="0" applyNumberFormat="1" applyFont="1" applyFill="1" applyBorder="1"/>
    <x:xf numFmtId="0" fontId="10" fillId="25" borderId="12" xfId="0" applyNumberFormat="1" applyFont="1" applyFill="1" applyBorder="1"/>
    <x:xf numFmtId="0" fontId="10" fillId="25" borderId="18" xfId="0" applyNumberFormat="1" applyFont="1" applyFill="1" applyBorder="1"/>
    <x:xf numFmtId="0" fontId="10" fillId="25" xfId="0" applyNumberFormat="1" applyFont="1" applyFill="1" applyBorder="0"/>
    <x:xf numFmtId="203" fontId="10" fillId="25" xfId="0" applyNumberFormat="1" applyFont="1" applyFill="1" applyBorder="0"/>
    <x:xf numFmtId="0" fontId="10" fillId="25" borderId="19" xfId="0" applyNumberFormat="1" applyFont="1" applyFill="1" applyBorder="1"/>
    <x:xf numFmtId="0" fontId="10" fillId="25" borderId="20" xfId="0" applyNumberFormat="1" applyFont="1" applyFill="1" applyBorder="1"/>
    <x:xf numFmtId="0" fontId="10" fillId="25" borderId="21" xfId="0" applyNumberFormat="1" applyFont="1" applyFill="1" applyBorder="1"/>
    <x:xf numFmtId="203" fontId="10" fillId="25" borderId="21" xfId="0" applyNumberFormat="1" applyFont="1" applyFill="1" applyBorder="1"/>
    <x:xf numFmtId="0" fontId="10" fillId="25" borderId="22" xfId="0" applyNumberFormat="1" applyFont="1" applyFill="1" applyBorder="1"/>
    <x:xf numFmtId="0" fontId="0" fillId="29" borderId="0" xfId="0" applyNumberFormat="1" applyFont="1" applyFill="1" applyBorder="1"/>
    <x:xf numFmtId="0" fontId="9" fillId="29" borderId="0" xfId="0" applyNumberFormat="1" applyFont="1" applyFill="1" applyBorder="1"/>
    <x:xf numFmtId="0" fontId="9" fillId="29" borderId="0" xfId="0" applyNumberFormat="1" applyFont="1" applyFill="1" applyBorder="1" applyAlignment="1">
      <x:alignment vertical="center"/>
    </x:xf>
    <x:xf numFmtId="206" fontId="10" fillId="25" borderId="17" xfId="0" applyNumberFormat="1" applyFont="1" applyFill="1" applyBorder="1"/>
    <x:xf numFmtId="206" fontId="10" fillId="25" xfId="0" applyNumberFormat="1" applyFont="1" applyFill="1" applyBorder="0"/>
    <x:xf numFmtId="206" fontId="10" fillId="25" borderId="21" xfId="0" applyNumberFormat="1" applyFont="1" applyFill="1" applyBorder="1"/>
    <x:xf numFmtId="0" fontId="0" fillId="30" borderId="0" xfId="0" applyNumberFormat="1" applyFont="1" applyFill="1" applyBorder="1"/>
    <x:xf numFmtId="0" fontId="9" fillId="30" borderId="0" xfId="0" applyNumberFormat="1" applyFont="1" applyFill="1" applyBorder="1"/>
    <x:xf numFmtId="0" fontId="9" fillId="30" borderId="0" xfId="0" applyNumberFormat="1" applyFont="1" applyFill="1" applyBorder="1" applyAlignment="1">
      <x:alignment vertical="center"/>
    </x:xf>
    <x:xf numFmtId="204" fontId="10" fillId="25" borderId="17" xfId="0" applyNumberFormat="1" applyFont="1" applyFill="1" applyBorder="1"/>
    <x:xf numFmtId="204" fontId="10" fillId="25" xfId="0" applyNumberFormat="1" applyFont="1" applyFill="1" applyBorder="0"/>
    <x:xf numFmtId="204" fontId="10" fillId="25" borderId="21" xfId="0" applyNumberFormat="1" applyFont="1" applyFill="1" applyBorder="1"/>
    <x:xf numFmtId="0" fontId="0" fillId="31" borderId="0" xfId="0" applyNumberFormat="1" applyFont="1" applyFill="1" applyBorder="1"/>
    <x:xf numFmtId="0" fontId="9" fillId="31" borderId="0" xfId="0" applyNumberFormat="1" applyFont="1" applyFill="1" applyBorder="1"/>
    <x:xf numFmtId="0" fontId="9" fillId="31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9" fillId="28" borderId="0" xfId="0" applyNumberFormat="1" applyFont="1" applyFill="1" applyBorder="1"/>
    <x:xf numFmtId="0" fontId="9" fillId="28" borderId="0" xfId="0" applyNumberFormat="1" applyFont="1" applyFill="1" applyBorder="1" applyAlignment="1">
      <x:alignment vertical="center"/>
    </x:xf>
    <x:xf numFmtId="202" fontId="10" fillId="25" borderId="17" xfId="0" applyNumberFormat="1" applyFont="1" applyFill="1" applyBorder="1"/>
    <x:xf numFmtId="202" fontId="10" fillId="25" xfId="0" applyNumberFormat="1" applyFont="1" applyFill="1" applyBorder="0"/>
    <x:xf numFmtId="202" fontId="10" fillId="25" borderId="21" xfId="0" applyNumberFormat="1" applyFont="1" applyFill="1" applyBorder="1"/>
    <x:xf numFmtId="0" fontId="9" fillId="26" borderId="11" xfId="0" applyNumberFormat="1" applyFont="1" applyFill="1" applyBorder="1" applyAlignment="1">
      <x:alignment vertical="center" wrapText="1"/>
    </x:xf>
    <x:xf numFmtId="0" fontId="9" fillId="26" borderId="17" xfId="0" applyNumberFormat="1" applyFont="1" applyFill="1" applyBorder="1" applyAlignment="1">
      <x:alignment vertical="center" wrapText="1"/>
    </x:xf>
    <x:xf numFmtId="0" fontId="9" fillId="26" borderId="12" xfId="0" applyNumberFormat="1" applyFont="1" applyFill="1" applyBorder="1" applyAlignment="1">
      <x:alignment vertical="center" wrapText="1"/>
    </x:xf>
    <x:xf numFmtId="0" fontId="10" fillId="27" borderId="18" xfId="0" applyNumberFormat="1" applyFont="1" applyFill="1" applyBorder="1" applyAlignment="1">
      <x:alignment vertical="center" wrapText="1"/>
    </x:xf>
    <x:xf numFmtId="0" fontId="10" fillId="27" xfId="0" applyNumberFormat="1" applyFont="1" applyFill="1" applyBorder="0" applyAlignment="1">
      <x:alignment vertical="center" wrapText="1"/>
    </x:xf>
    <x:xf numFmtId="0" fontId="10" fillId="27" borderId="19" xfId="0" applyNumberFormat="1" applyFont="1" applyFill="1" applyBorder="1" applyAlignment="1">
      <x:alignment vertical="center" wrapText="1"/>
    </x:xf>
    <x:xf numFmtId="0" fontId="10" fillId="27" borderId="20" xfId="0" applyNumberFormat="1" applyFont="1" applyFill="1" applyBorder="1" applyAlignment="1">
      <x:alignment vertical="center" wrapText="1"/>
    </x:xf>
    <x:xf numFmtId="0" fontId="10" fillId="27" borderId="21" xfId="0" applyNumberFormat="1" applyFont="1" applyFill="1" applyBorder="1" applyAlignment="1">
      <x:alignment vertical="center" wrapText="1"/>
    </x:xf>
    <x:xf numFmtId="0" fontId="10" fillId="27" borderId="22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/>
    <x:xf numFmtId="0" fontId="0" fillId="0" xfId="0" applyNumberFormat="1" applyFont="1" applyFill="1" applyBorder="0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202" fontId="10" fillId="27" xfId="0" applyNumberFormat="1" applyFont="1" applyFill="1" applyBorder="0" applyAlignment="1">
      <x:alignment vertical="center" wrapText="1"/>
    </x:xf>
    <x:xf numFmtId="202" fontId="10" fillId="27" borderId="21" xfId="0" applyNumberFormat="1" applyFont="1" applyFill="1" applyBorder="1" applyAlignment="1">
      <x:alignment vertical="center" wrapText="1"/>
    </x:xf>
    <x:xf numFmtId="0" fontId="0" fillId="26" xfId="0" applyNumberFormat="1" applyFont="1" applyFill="1" applyBorder="0"/>
    <x:xf numFmtId="0" fontId="0" fillId="26" borderId="21" xfId="0" applyNumberFormat="1" applyFont="1" applyFill="1" applyBorder="1"/>
    <x:xf numFmtId="0" fontId="9" fillId="26" xfId="0" applyNumberFormat="1" applyFont="1" applyFill="1" applyBorder="0"/>
    <x:xf numFmtId="0" fontId="9" fillId="26" borderId="21" xfId="0" applyNumberFormat="1" applyFont="1" applyFill="1" applyBorder="1"/>
    <x:xf numFmtId="0" fontId="9" fillId="26" xfId="0" applyNumberFormat="1" applyFont="1" applyFill="1" applyBorder="0" applyAlignment="1">
      <x:alignment horizontal="right"/>
    </x:xf>
    <x:xf numFmtId="0" fontId="9" fillId="26" borderId="21" xfId="0" applyNumberFormat="1" applyFont="1" applyFill="1" applyBorder="1" applyAlignment="1">
      <x:alignment horizontal="right"/>
    </x:xf>
    <x:xf numFmtId="0" fontId="9" fillId="31" xfId="0" applyNumberFormat="1" applyFont="1" applyFill="1" applyBorder="0" applyAlignment="1">
      <x:alignment horizontal="right"/>
    </x:xf>
    <x:xf numFmtId="0" fontId="9" fillId="28" xfId="0" applyNumberFormat="1" applyFont="1" applyFill="1" applyBorder="0" applyAlignment="1">
      <x:alignment horizontal="right"/>
    </x:xf>
    <x:xf numFmtId="0" fontId="9" fillId="30" xfId="0" applyNumberFormat="1" applyFont="1" applyFill="1" applyBorder="0" applyAlignment="1">
      <x:alignment horizontal="right"/>
    </x:xf>
    <x:xf numFmtId="0" fontId="9" fillId="25" xfId="0" applyNumberFormat="1" applyFont="1" applyFill="1" applyBorder="0" applyAlignment="1">
      <x:alignment horizontal="right"/>
    </x:xf>
    <x:xf numFmtId="0" fontId="9" fillId="25" borderId="21" xfId="0" applyNumberFormat="1" applyFont="1" applyFill="1" applyBorder="1" applyAlignment="1">
      <x:alignment horizontal="right"/>
    </x:xf>
    <x:xf numFmtId="203" fontId="10" fillId="27" xfId="0" applyNumberFormat="1" applyFont="1" applyFill="1" applyBorder="0" applyAlignment="1">
      <x:alignment vertical="center" wrapText="1"/>
    </x:xf>
    <x:xf numFmtId="203" fontId="10" fillId="27" borderId="21" xfId="0" applyNumberFormat="1" applyFont="1" applyFill="1" applyBorder="1" applyAlignment="1">
      <x:alignment vertical="center" wrapText="1"/>
    </x:xf>
    <x:xf numFmtId="0" fontId="10" fillId="30" xfId="0" applyNumberFormat="1" applyFont="1" applyFill="1" applyBorder="0" applyAlignment="1">
      <x:alignment vertical="center" wrapText="1"/>
    </x:xf>
    <x:xf numFmtId="0" fontId="16" fillId="30" xfId="0" applyNumberFormat="1" applyFont="1" applyFill="1" applyBorder="0" applyAlignment="1">
      <x:alignment vertical="center" wrapText="1"/>
    </x:xf>
    <x:xf numFmtId="0" fontId="10" fillId="28" xfId="0" applyNumberFormat="1" applyFont="1" applyFill="1" applyBorder="0" applyAlignment="1">
      <x:alignment vertical="center" wrapText="1"/>
    </x:xf>
    <x:xf numFmtId="0" fontId="13" fillId="28" xfId="0" applyNumberFormat="1" applyFont="1" applyFill="1" applyBorder="0" applyAlignment="1">
      <x:alignment vertical="center" wrapText="1"/>
    </x:xf>
    <x:xf numFmtId="0" fontId="10" fillId="31" xfId="0" applyNumberFormat="1" applyFont="1" applyFill="1" applyBorder="0" applyAlignment="1">
      <x:alignment vertical="center" wrapText="1"/>
    </x:xf>
    <x:xf numFmtId="0" fontId="17" fillId="31" xfId="0" applyNumberFormat="1" applyFont="1" applyFill="1" applyBorder="0" applyAlignment="1">
      <x:alignment vertical="center" wrapText="1"/>
    </x:xf>
    <x:xf numFmtId="0" fontId="10" fillId="28" borderId="21" xfId="0" applyNumberFormat="1" applyFont="1" applyFill="1" applyBorder="1" applyAlignment="1">
      <x:alignment vertical="center" wrapText="1"/>
    </x:xf>
    <x:xf numFmtId="0" fontId="13" fillId="28" borderId="21" xfId="0" applyNumberFormat="1" applyFont="1" applyFill="1" applyBorder="1" applyAlignment="1">
      <x:alignment vertical="center" wrapText="1"/>
    </x:xf>
    <x:xf numFmtId="0" fontId="10" fillId="25" xfId="0" applyNumberFormat="1" applyFont="1" applyFill="1" applyBorder="0" applyAlignment="1">
      <x:alignment vertical="center" wrapText="1"/>
    </x:xf>
    <x:xf numFmtId="0" fontId="9" fillId="25" xfId="0" applyNumberFormat="1" applyFont="1" applyFill="1" applyBorder="0" applyAlignment="1">
      <x:alignment vertical="center" wrapText="1"/>
    </x:xf>
    <x:xf numFmtId="0" fontId="10" fillId="25" borderId="21" xfId="0" applyNumberFormat="1" applyFont="1" applyFill="1" applyBorder="1" applyAlignment="1">
      <x:alignment vertical="center" wrapText="1"/>
    </x:xf>
    <x:xf numFmtId="0" fontId="9" fillId="25" borderId="21" xfId="0" applyNumberFormat="1" applyFont="1" applyFill="1" applyBorder="1" applyAlignment="1">
      <x:alignment vertical="center" wrapText="1"/>
    </x:xf>
    <x:xf numFmtId="0" fontId="10" fillId="25" borderId="18" xfId="0" applyNumberFormat="1" applyFont="1" applyFill="1" applyBorder="1" applyAlignment="1">
      <x:alignment vertical="center" wrapText="1"/>
    </x:xf>
    <x:xf numFmtId="0" fontId="10" fillId="25" borderId="19" xfId="0" applyNumberFormat="1" applyFont="1" applyFill="1" applyBorder="1" applyAlignment="1">
      <x:alignment vertical="center" wrapText="1"/>
    </x:xf>
    <x:xf numFmtId="0" fontId="9" fillId="25" borderId="18" xfId="0" applyNumberFormat="1" applyFont="1" applyFill="1" applyBorder="1" applyAlignment="1">
      <x:alignment vertical="center" wrapText="1"/>
    </x:xf>
    <x:xf numFmtId="0" fontId="9" fillId="25" borderId="19" xfId="0" applyNumberFormat="1" applyFont="1" applyFill="1" applyBorder="1" applyAlignment="1">
      <x:alignment vertical="center" wrapText="1"/>
    </x:xf>
    <x:xf numFmtId="0" fontId="9" fillId="24" borderId="11" xfId="0" applyNumberFormat="1" applyFont="1" applyFill="1" applyBorder="1" applyAlignment="1">
      <x:alignment vertical="center" wrapText="1"/>
    </x:xf>
    <x:xf numFmtId="0" fontId="9" fillId="24" borderId="17" xfId="0" applyNumberFormat="1" applyFont="1" applyFill="1" applyBorder="1" applyAlignment="1">
      <x:alignment vertical="center" wrapText="1"/>
    </x:xf>
    <x:xf numFmtId="0" fontId="9" fillId="24" borderId="12" xfId="0" applyNumberFormat="1" applyFont="1" applyFill="1" applyBorder="1" applyAlignment="1">
      <x:alignment vertical="center" wrapText="1"/>
    </x:xf>
    <x:xf numFmtId="0" fontId="18" fillId="24" borderId="11" xfId="0" applyNumberFormat="1" applyFont="1" applyFill="1" applyBorder="1" applyAlignment="1">
      <x:alignment vertical="center" wrapText="1"/>
    </x:xf>
    <x:xf numFmtId="0" fontId="18" fillId="24" borderId="17" xfId="0" applyNumberFormat="1" applyFont="1" applyFill="1" applyBorder="1" applyAlignment="1">
      <x:alignment vertical="center" wrapText="1"/>
    </x:xf>
    <x:xf numFmtId="0" fontId="18" fillId="24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">
    <x:dxf>
      <x:font>
        <x:color rgb="FF9A6700"/>
      </x:font>
      <x:fill>
        <x:patternFill>
          <x:bgColor rgb="FFFFF4DE"/>
        </x:patternFill>
      </x:fill>
    </x:dxf>
    <x:dxf>
      <x:font>
        <x:color rgb="FF07865A"/>
      </x:font>
      <x:fill>
        <x:patternFill>
          <x:bgColor rgb="FFE8F7F0"/>
        </x:patternFill>
      </x:fill>
    </x:dxf>
    <x:dxf>
      <x:font>
        <x:color rgb="FFD64545"/>
      </x:font>
      <x:fill>
        <x:patternFill>
          <x:bgColor rgb="FFFFF0F0"/>
        </x:patternFill>
      </x:fill>
    </x:dxf>
    <x:dxf>
      <x:font>
        <x:color rgb="FF9A6700"/>
      </x:font>
      <x:fill>
        <x:patternFill>
          <x:bgColor rgb="FFFFF4DE"/>
        </x:patternFill>
      </x:fill>
    </x:dxf>
    <x:dxf>
      <x:font>
        <x:color rgb="FF07865A"/>
      </x:font>
      <x:fill>
        <x:patternFill>
          <x:bgColor rgb="FFE8F7F0"/>
        </x:patternFill>
      </x:fill>
    </x:dxf>
    <x:dxf>
      <x:font>
        <x:color rgb="FFD64545"/>
      </x:font>
      <x:fill>
        <x:patternFill>
          <x:bgColor rgb="FFFFF0F0"/>
        </x:patternFill>
      </x:fill>
    </x:dxf>
    <x:dxf>
      <x:font>
        <x:color rgb="FF9A6700"/>
      </x:font>
      <x:fill>
        <x:patternFill>
          <x:bgColor rgb="FFFFF4DE"/>
        </x:patternFill>
      </x:fill>
    </x:dxf>
    <x:dxf>
      <x:font>
        <x:color rgb="FF07865A"/>
      </x:font>
      <x:fill>
        <x:patternFill>
          <x:bgColor rgb="FFE8F7F0"/>
        </x:patternFill>
      </x:fill>
    </x:dxf>
    <x:dxf>
      <x:font>
        <x:color rgb="FFD64545"/>
      </x:font>
      <x:fill>
        <x:patternFill>
          <x:bgColor rgb="FFFFF0F0"/>
        </x:patternFill>
      </x:fill>
    </x:dxf>
    <x:dxf>
      <x:font>
        <x:color rgb="FF9A6700"/>
      </x:font>
      <x:fill>
        <x:patternFill>
          <x:bgColor rgb="FFFFF4DE"/>
        </x:patternFill>
      </x:fill>
    </x:dxf>
    <x:dxf>
      <x:font>
        <x:color rgb="FF07865A"/>
      </x:font>
      <x:fill>
        <x:patternFill>
          <x:bgColor rgb="FFE8F7F0"/>
        </x:patternFill>
      </x:fill>
    </x:dxf>
    <x:dxf>
      <x:font>
        <x:color rgb="FFD64545"/>
      </x:font>
      <x:fill>
        <x:patternFill>
          <x:bgColor rgb="FFFFF0F0"/>
        </x:patternFill>
      </x:fill>
    </x:dxf>
    <x:dxf>
      <x:font>
        <x:color rgb="FF9A6700"/>
      </x:font>
      <x:fill>
        <x:patternFill>
          <x:bgColor rgb="FFFFF4DE"/>
        </x:patternFill>
      </x:fill>
    </x:dxf>
    <x:dxf>
      <x:font>
        <x:color rgb="FF07865A"/>
      </x:font>
      <x:fill>
        <x:patternFill>
          <x:bgColor rgb="FFE8F7F0"/>
        </x:patternFill>
      </x:fill>
    </x:dxf>
    <x:dxf>
      <x:font>
        <x:color rgb="FFD64545"/>
      </x:font>
      <x:fill>
        <x:patternFill>
          <x:bgColor rgb="FFFFF0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b23fde440948e9" /><Relationship Type="http://schemas.openxmlformats.org/officeDocument/2006/relationships/theme" Target="/xl/theme/theme1.xml" Id="R2df972d896454aa4" /><Relationship Type="http://schemas.openxmlformats.org/officeDocument/2006/relationships/sharedStrings" Target="/xl/sharedStrings.xml" Id="R28ef609e090c495d" /><Relationship Type="http://schemas.openxmlformats.org/officeDocument/2006/relationships/worksheet" Target="/xl/worksheets/sheet1.xml" Id="R306f56cc3a004747" /><Relationship Type="http://schemas.openxmlformats.org/officeDocument/2006/relationships/worksheet" Target="/xl/worksheets/sheet2.xml" Id="Rdc76b9c3390645dc" /><Relationship Type="http://schemas.openxmlformats.org/officeDocument/2006/relationships/worksheet" Target="/xl/worksheets/sheet3.xml" Id="Rb268268a4607473f" /><Relationship Type="http://schemas.openxmlformats.org/officeDocument/2006/relationships/worksheet" Target="/xl/worksheets/sheet4.xml" Id="R92e3901e877f4c8d" /><Relationship Type="http://schemas.openxmlformats.org/officeDocument/2006/relationships/worksheet" Target="/xl/worksheets/sheet5.xml" Id="R597c828a92de47b7" /><Relationship Type="http://schemas.openxmlformats.org/officeDocument/2006/relationships/worksheet" Target="/xl/worksheets/sheet6.xml" Id="R727c1871b4144e59" /><Relationship Type="http://schemas.openxmlformats.org/officeDocument/2006/relationships/worksheet" Target="/xl/worksheets/sheet7.xml" Id="Rc599842fae834b5c" /><Relationship Type="http://schemas.openxmlformats.org/officeDocument/2006/relationships/worksheet" Target="/xl/worksheets/sheet8.xml" Id="R5b2865b7d1b54a0f" /><Relationship Type="http://schemas.openxmlformats.org/officeDocument/2006/relationships/worksheet" Target="/xl/worksheets/sheet9.xml" Id="R5441e027d2df42da" /><Relationship Type="http://schemas.openxmlformats.org/officeDocument/2006/relationships/worksheet" Target="/xl/worksheets/sheet10.xml" Id="R3f8f5872bab048fd" /><Relationship Type="http://schemas.openxmlformats.org/officeDocument/2006/relationships/worksheet" Target="/xl/worksheets/sheet11.xml" Id="R426a7f96cea64b08" /><Relationship Type="http://schemas.openxmlformats.org/officeDocument/2006/relationships/worksheet" Target="/xl/worksheets/sheet12.xml" Id="R48e0341c0fb8480d" /><Relationship Type="http://schemas.openxmlformats.org/officeDocument/2006/relationships/worksheet" Target="/xl/worksheets/sheet13.xml" Id="R57d004341d7d47dc" /><Relationship Type="http://schemas.openxmlformats.org/officeDocument/2006/relationships/worksheet" Target="/xl/worksheets/sheet14.xml" Id="Rf80724e3bf2a4d20" /><Relationship Type="http://schemas.openxmlformats.org/officeDocument/2006/relationships/worksheet" Target="/xl/worksheets/sheet15.xml" Id="Rf22e6ed3bd144a62" /></Relationships>
</file>

<file path=xl/tables/table1.xml><?xml version="1.0" encoding="utf-8"?>
<x:table xmlns:x="http://schemas.openxmlformats.org/spreadsheetml/2006/main" id="1" name="StoreDailyTable" displayName="StoreDailyTable" ref="A5:N9" headerRowCount="1" totalsRowCount="0" totalsRowShown="0">
  <x:autoFilter ref="A5:N9"/>
  <x:tableColumns count="14">
    <x:tableColumn id="1" name="日期"/>
    <x:tableColumn id="2" name="店铺"/>
    <x:tableColumn id="3" name="店铺GMV(CNY)"/>
    <x:tableColumn id="4" name="成交订单"/>
    <x:tableColumn id="5" name="店铺总曝光"/>
    <x:tableColumn id="6" name="成交转化率(%)"/>
    <x:tableColumn id="7" name="今日自营发布"/>
    <x:tableColumn id="8" name="短视频占比(%)"/>
    <x:tableColumn id="9" name="直播占比(%)"/>
    <x:tableColumn id="10" name="商品卡占比(%)"/>
    <x:tableColumn id="11" name="其他占比(%)"/>
    <x:tableColumn id="12" name="动作进度"/>
    <x:tableColumn id="13" name="数据状态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Table" displayName="ProductsTable" ref="A5:R11" headerRowCount="1" totalsRowCount="0" totalsRowShown="0">
  <x:autoFilter ref="A5:R11"/>
  <x:tableColumns count="18">
    <x:tableColumn id="1" name="日期"/>
    <x:tableColumn id="2" name="店铺"/>
    <x:tableColumn id="3" name="商品ID"/>
    <x:tableColumn id="4" name="商品名称"/>
    <x:tableColumn id="5" name="发布数量"/>
    <x:tableColumn id="6" name="曝光"/>
    <x:tableColumn id="7" name="点击率(%)"/>
    <x:tableColumn id="8" name="CVR(%)"/>
    <x:tableColumn id="9" name="销量"/>
    <x:tableColumn id="10" name="GMV(CNY)"/>
    <x:tableColumn id="11" name="GMV变化(%)"/>
    <x:tableColumn id="12" name="曝光变化(%)"/>
    <x:tableColumn id="13" name="CTR变化(百分点)"/>
    <x:tableColumn id="14" name="CVR变化(百分点)"/>
    <x:tableColumn id="15" name="预警节点"/>
    <x:tableColumn id="16" name="建议动作"/>
    <x:tableColumn id="17" name="当前状态"/>
    <x:tableColumn id="18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onsTable" displayName="ActionsTable" ref="A5:L10" headerRowCount="1" totalsRowCount="0" totalsRowShown="0">
  <x:autoFilter ref="A5:L10"/>
  <x:tableColumns count="12">
    <x:tableColumn id="1" name="执行日期"/>
    <x:tableColumn id="2" name="店铺"/>
    <x:tableColumn id="3" name="对象类型"/>
    <x:tableColumn id="4" name="对象ID"/>
    <x:tableColumn id="5" name="已执行动作"/>
    <x:tableColumn id="6" name="动作说明"/>
    <x:tableColumn id="7" name="负责人"/>
    <x:tableColumn id="8" name="验证节点"/>
    <x:tableColumn id="9" name="验证状态"/>
    <x:tableColumn id="10" name="验证证据"/>
    <x:tableColumn id="11" name="是否已执行"/>
    <x:tableColumn id="12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ublishTrendTable" displayName="PublishTrendTable" ref="A5:D12" headerRowCount="1" totalsRowCount="0" totalsRowShown="0">
  <x:autoFilter ref="A5:D12"/>
  <x:tableColumns count="4">
    <x:tableColumn id="1" name="日期"/>
    <x:tableColumn id="2" name="店铺"/>
    <x:tableColumn id="3" name="自营发布数量"/>
    <x:tableColumn id="4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reatorSummaryTable" displayName="CreatorSummaryTable" ref="A5:G6" headerRowCount="1" totalsRowCount="0" totalsRowShown="0">
  <x:autoFilter ref="A5:G6"/>
  <x:tableColumns count="7">
    <x:tableColumn id="1" name="店铺"/>
    <x:tableColumn id="2" name="合作中达人"/>
    <x:tableColumn id="3" name="待跟进"/>
    <x:tableColumn id="4" name="本周交付视频"/>
    <x:tableColumn id="5" name="履约率(%)"/>
    <x:tableColumn id="6" name="状态"/>
    <x:tableColumn id="7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dsTable" displayName="AdsTable" ref="A5:K8" headerRowCount="1" totalsRowCount="0" totalsRowShown="0">
  <x:autoFilter ref="A5:K8"/>
  <x:tableColumns count="11">
    <x:tableColumn id="1" name="日期"/>
    <x:tableColumn id="2" name="店铺"/>
    <x:tableColumn id="3" name="计划ID"/>
    <x:tableColumn id="4" name="广告组"/>
    <x:tableColumn id="5" name="商品ID"/>
    <x:tableColumn id="6" name="花费(CNY)"/>
    <x:tableColumn id="7" name="曝光"/>
    <x:tableColumn id="8" name="CTR(%)"/>
    <x:tableColumn id="9" name="CVR(%)"/>
    <x:tableColumn id="10" name="状态"/>
    <x:tableColumn id="11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ideoTable" displayName="VideoTable" ref="A5:H6" headerRowCount="1" totalsRowCount="0" totalsRowShown="0">
  <x:autoFilter ref="A5:H6"/>
  <x:tableColumns count="8">
    <x:tableColumn id="1" name="日期"/>
    <x:tableColumn id="2" name="店铺"/>
    <x:tableColumn id="3" name="今日自营发布数量"/>
    <x:tableColumn id="4" name="近7天播放量"/>
    <x:tableColumn id="5" name="近7天GMV(CNY)"/>
    <x:tableColumn id="6" name="播放数据来源"/>
    <x:tableColumn id="7" name="GMV数据来源"/>
    <x:tableColumn id="8" name="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ctionaryTable" displayName="DictionaryTable" ref="A5:D12" headerRowCount="1" totalsRowCount="0" totalsRowShown="0">
  <x:autoFilter ref="A5:D12"/>
  <x:tableColumns count="4">
    <x:tableColumn id="1" name="字段"/>
    <x:tableColumn id="2" name="所在表"/>
    <x:tableColumn id="3" name="填写口径"/>
    <x:tableColumn id="4" name="字段属性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toreDictionaryTable" displayName="StoreDictionaryTable" ref="A5:D9" headerRowCount="1" totalsRowCount="0" totalsRowShown="0">
  <x:tableColumns count="4">
    <x:tableColumn id="1" name="店铺名称"/>
    <x:tableColumn id="2" name="店铺编码"/>
    <x:tableColumn id="3" name="市场/用途"/>
    <x:tableColumn id="4" name="状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20" name="StoreDictionaryTable" displayName="StoreDictionaryTable" ref="A5:D9" headerRowCount="1" totalsRowCount="0" totalsRowShown="0">
  <x:tableColumns count="4">
    <x:tableColumn id="1" name="店铺名称"/>
    <x:tableColumn id="2" name="店铺编码"/>
    <x:tableColumn id="3" name="市场/用途"/>
    <x:tableColumn id="4" name="状态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31" name="StoreDictionaryTable" displayName="StoreDictionaryTable" ref="A5:D9" headerRowCount="1" totalsRowCount="0" totalsRowShown="0">
  <x:tableColumns count="4">
    <x:tableColumn id="1" name="店铺名称"/>
    <x:tableColumn id="2" name="店铺编码"/>
    <x:tableColumn id="3" name="市场/用途"/>
    <x:tableColumn id="4" name="状态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43" name="StoreDictionaryTable" displayName="StoreDictionaryTable" ref="A5:D9" headerRowCount="1" totalsRowCount="0" totalsRowShown="0">
  <x:tableColumns count="4">
    <x:tableColumn id="1" name="店铺名称"/>
    <x:tableColumn id="2" name="店铺编码"/>
    <x:tableColumn id="3" name="市场/用途"/>
    <x:tableColumn id="4" name="状态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0" name="SalesTop5Table" displayName="SalesTop5Table" ref="A5:F10" headerRowCount="1" totalsRowCount="0" totalsRowShown="0">
  <x:tableColumns count="6">
    <x:tableColumn id="1" name="排名"/>
    <x:tableColumn id="2" name="商品ID"/>
    <x:tableColumn id="3" name="商品名称"/>
    <x:tableColumn id="4" name="店铺"/>
    <x:tableColumn id="5" name="指标值"/>
    <x:tableColumn id="6" name="口径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1" name="GMVTop5Table" displayName="GMVTop5Table" ref="A13:F18" headerRowCount="1" totalsRowCount="0" totalsRowShown="0">
  <x:tableColumns count="6">
    <x:tableColumn id="1" name="排名"/>
    <x:tableColumn id="2" name="商品ID"/>
    <x:tableColumn id="3" name="商品名称"/>
    <x:tableColumn id="4" name="店铺"/>
    <x:tableColumn id="5" name="指标值"/>
    <x:tableColumn id="6" name="口径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2" name="GMVUpTop5Table" displayName="GMVUpTop5Table" ref="A21:F26" headerRowCount="1" totalsRowCount="0" totalsRowShown="0">
  <x:tableColumns count="6">
    <x:tableColumn id="1" name="排名"/>
    <x:tableColumn id="2" name="商品ID"/>
    <x:tableColumn id="3" name="商品名称"/>
    <x:tableColumn id="4" name="店铺"/>
    <x:tableColumn id="5" name="指标值"/>
    <x:tableColumn id="6" name="口径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3" name="GMVDownTop5Table" displayName="GMVDownTop5Table" ref="A29:F34" headerRowCount="1" totalsRowCount="0" totalsRowShown="0">
  <x:tableColumns count="6">
    <x:tableColumn id="1" name="排名"/>
    <x:tableColumn id="2" name="商品ID"/>
    <x:tableColumn id="3" name="商品名称"/>
    <x:tableColumn id="4" name="店铺"/>
    <x:tableColumn id="5" name="指标值"/>
    <x:tableColumn id="6" name="口径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4" name="CVRDownTop5Table" displayName="CVRDownTop5Table" ref="A37:F42" headerRowCount="1" totalsRowCount="0" totalsRowShown="0">
  <x:tableColumns count="6">
    <x:tableColumn id="1" name="排名"/>
    <x:tableColumn id="2" name="商品ID"/>
    <x:tableColumn id="3" name="商品名称"/>
    <x:tableColumn id="4" name="店铺"/>
    <x:tableColumn id="5" name="指标值"/>
    <x:tableColumn id="6" name="口径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21" name="SalesTop5Table" displayName="SalesTop5Table" ref="A5:F10" headerRowCount="1" totalsRowCount="0" totalsRowShown="0">
  <x:tableColumns count="6">
    <x:tableColumn id="1" name="排名"/>
    <x:tableColumn id="2" name="商品ID"/>
    <x:tableColumn id="3" name="商品名称"/>
    <x:tableColumn id="4" name="店铺"/>
    <x:tableColumn id="5" name="指标值"/>
    <x:tableColumn id="6" name="口径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22" name="GMVTop5Table" displayName="GMVTop5Table" ref="A13:F18" headerRowCount="1" totalsRowCount="0" totalsRowShown="0">
  <x:tableColumns count="6">
    <x:tableColumn id="1" name="排名"/>
    <x:tableColumn id="2" name="商品ID"/>
    <x:tableColumn id="3" name="商品名称"/>
    <x:tableColumn id="4" name="店铺"/>
    <x:tableColumn id="5" name="指标值"/>
    <x:tableColumn id="6" name="口径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3" name="GMVUpTop5Table" displayName="GMVUpTop5Table" ref="A21:F26" headerRowCount="1" totalsRowCount="0" totalsRowShown="0">
  <x:tableColumns count="6">
    <x:tableColumn id="1" name="排名"/>
    <x:tableColumn id="2" name="商品ID"/>
    <x:tableColumn id="3" name="商品名称"/>
    <x:tableColumn id="4" name="店铺"/>
    <x:tableColumn id="5" name="指标值"/>
    <x:tableColumn id="6" name="口径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4" name="GMVDownTop5Table" displayName="GMVDownTop5Table" ref="A29:F34" headerRowCount="1" totalsRowCount="0" totalsRowShown="0">
  <x:tableColumns count="6">
    <x:tableColumn id="1" name="排名"/>
    <x:tableColumn id="2" name="商品ID"/>
    <x:tableColumn id="3" name="商品名称"/>
    <x:tableColumn id="4" name="店铺"/>
    <x:tableColumn id="5" name="指标值"/>
    <x:tableColumn id="6" name="口径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5" name="CVRDownTop5Table" displayName="CVRDownTop5Table" ref="A37:F42" headerRowCount="1" totalsRowCount="0" totalsRowShown="0">
  <x:tableColumns count="6">
    <x:tableColumn id="1" name="排名"/>
    <x:tableColumn id="2" name="商品ID"/>
    <x:tableColumn id="3" name="商品名称"/>
    <x:tableColumn id="4" name="店铺"/>
    <x:tableColumn id="5" name="指标值"/>
    <x:tableColumn id="6" name="口径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32" name="SalesTop5Table" displayName="SalesTop5Table" ref="A5:F10" headerRowCount="1" totalsRowCount="0" totalsRowShown="0">
  <x:tableColumns count="6">
    <x:tableColumn id="1" name="排名"/>
    <x:tableColumn id="2" name="商品ID"/>
    <x:tableColumn id="3" name="商品名称"/>
    <x:tableColumn id="4" name="店铺"/>
    <x:tableColumn id="5" name="指标值"/>
    <x:tableColumn id="6" name="口径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33" name="GMVTop5Table" displayName="GMVTop5Table" ref="A13:F18" headerRowCount="1" totalsRowCount="0" totalsRowShown="0">
  <x:tableColumns count="6">
    <x:tableColumn id="1" name="排名"/>
    <x:tableColumn id="2" name="商品ID"/>
    <x:tableColumn id="3" name="商品名称"/>
    <x:tableColumn id="4" name="店铺"/>
    <x:tableColumn id="5" name="指标值"/>
    <x:tableColumn id="6" name="口径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34" name="GMVUpTop5Table" displayName="GMVUpTop5Table" ref="A21:F26" headerRowCount="1" totalsRowCount="0" totalsRowShown="0">
  <x:tableColumns count="6">
    <x:tableColumn id="1" name="排名"/>
    <x:tableColumn id="2" name="商品ID"/>
    <x:tableColumn id="3" name="商品名称"/>
    <x:tableColumn id="4" name="店铺"/>
    <x:tableColumn id="5" name="指标值"/>
    <x:tableColumn id="6" name="口径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35" name="GMVDownTop5Table" displayName="GMVDownTop5Table" ref="A29:F34" headerRowCount="1" totalsRowCount="0" totalsRowShown="0">
  <x:tableColumns count="6">
    <x:tableColumn id="1" name="排名"/>
    <x:tableColumn id="2" name="商品ID"/>
    <x:tableColumn id="3" name="商品名称"/>
    <x:tableColumn id="4" name="店铺"/>
    <x:tableColumn id="5" name="指标值"/>
    <x:tableColumn id="6" name="口径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36" name="CVRDownTop5Table" displayName="CVRDownTop5Table" ref="A37:F42" headerRowCount="1" totalsRowCount="0" totalsRowShown="0">
  <x:tableColumns count="6">
    <x:tableColumn id="1" name="排名"/>
    <x:tableColumn id="2" name="商品ID"/>
    <x:tableColumn id="3" name="商品名称"/>
    <x:tableColumn id="4" name="店铺"/>
    <x:tableColumn id="5" name="指标值"/>
    <x:tableColumn id="6" name="口径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44" name="SalesTop5Table" displayName="SalesTop5Table" ref="A5:F10" headerRowCount="1" totalsRowCount="0" totalsRowShown="0">
  <x:tableColumns count="6">
    <x:tableColumn id="1" name="排名"/>
    <x:tableColumn id="2" name="商品ID"/>
    <x:tableColumn id="3" name="商品名称"/>
    <x:tableColumn id="4" name="店铺"/>
    <x:tableColumn id="5" name="指标值"/>
    <x:tableColumn id="6" name="口径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45" name="GMVTop5Table" displayName="GMVTop5Table" ref="A13:F18" headerRowCount="1" totalsRowCount="0" totalsRowShown="0">
  <x:tableColumns count="6">
    <x:tableColumn id="1" name="排名"/>
    <x:tableColumn id="2" name="商品ID"/>
    <x:tableColumn id="3" name="商品名称"/>
    <x:tableColumn id="4" name="店铺"/>
    <x:tableColumn id="5" name="指标值"/>
    <x:tableColumn id="6" name="口径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46" name="GMVUpTop5Table" displayName="GMVUpTop5Table" ref="A21:F26" headerRowCount="1" totalsRowCount="0" totalsRowShown="0">
  <x:tableColumns count="6">
    <x:tableColumn id="1" name="排名"/>
    <x:tableColumn id="2" name="商品ID"/>
    <x:tableColumn id="3" name="商品名称"/>
    <x:tableColumn id="4" name="店铺"/>
    <x:tableColumn id="5" name="指标值"/>
    <x:tableColumn id="6" name="口径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47" name="GMVDownTop5Table" displayName="GMVDownTop5Table" ref="A29:F34" headerRowCount="1" totalsRowCount="0" totalsRowShown="0">
  <x:tableColumns count="6">
    <x:tableColumn id="1" name="排名"/>
    <x:tableColumn id="2" name="商品ID"/>
    <x:tableColumn id="3" name="商品名称"/>
    <x:tableColumn id="4" name="店铺"/>
    <x:tableColumn id="5" name="指标值"/>
    <x:tableColumn id="6" name="口径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48" name="CVRDownTop5Table" displayName="CVRDownTop5Table" ref="A37:F42" headerRowCount="1" totalsRowCount="0" totalsRowShown="0">
  <x:tableColumns count="6">
    <x:tableColumn id="1" name="排名"/>
    <x:tableColumn id="2" name="商品ID"/>
    <x:tableColumn id="3" name="商品名称"/>
    <x:tableColumn id="4" name="店铺"/>
    <x:tableColumn id="5" name="指标值"/>
    <x:tableColumn id="6" name="口径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15" name="WarningRulesTable" displayName="WarningRulesTable" ref="A5:D10" headerRowCount="1" totalsRowCount="0" totalsRowShown="0">
  <x:tableColumns count="4">
    <x:tableColumn id="1" name="预警指标"/>
    <x:tableColumn id="2" name="触发条件"/>
    <x:tableColumn id="3" name="建议节点"/>
    <x:tableColumn id="4" name="启用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16" name="WarningSummaryTable" displayName="WarningSummaryTable" ref="F5:H10" headerRowCount="1" totalsRowCount="0" totalsRowShown="0">
  <x:tableColumns count="3">
    <x:tableColumn id="1" name="汇总指标"/>
    <x:tableColumn id="2" name="当前值"/>
    <x:tableColumn id="3" name="说明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17" name="WarningQueueTable" displayName="WarningQueueTable" ref="A13:H19" headerRowCount="1" totalsRowCount="0" totalsRowShown="0">
  <x:tableColumns count="8">
    <x:tableColumn id="1" name="商品ID"/>
    <x:tableColumn id="2" name="店铺"/>
    <x:tableColumn id="3" name="预警类型"/>
    <x:tableColumn id="4" name="当前指标"/>
    <x:tableColumn id="5" name="变化值"/>
    <x:tableColumn id="6" name="建议动作"/>
    <x:tableColumn id="7" name="处理状态"/>
    <x:tableColumn id="8" name="证据/备注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26" name="WarningRulesTable" displayName="WarningRulesTable" ref="A5:D10" headerRowCount="1" totalsRowCount="0" totalsRowShown="0">
  <x:tableColumns count="4">
    <x:tableColumn id="1" name="预警指标"/>
    <x:tableColumn id="2" name="触发条件"/>
    <x:tableColumn id="3" name="建议节点"/>
    <x:tableColumn id="4" name="启用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27" name="WarningSummaryTable" displayName="WarningSummaryTable" ref="F5:H10" headerRowCount="1" totalsRowCount="0" totalsRowShown="0">
  <x:tableColumns count="3">
    <x:tableColumn id="1" name="汇总指标"/>
    <x:tableColumn id="2" name="当前值"/>
    <x:tableColumn id="3" name="说明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28" name="WarningQueueTable" displayName="WarningQueueTable" ref="A13:H19" headerRowCount="1" totalsRowCount="0" totalsRowShown="0">
  <x:tableColumns count="8">
    <x:tableColumn id="1" name="商品ID"/>
    <x:tableColumn id="2" name="店铺"/>
    <x:tableColumn id="3" name="预警类型"/>
    <x:tableColumn id="4" name="当前指标"/>
    <x:tableColumn id="5" name="变化值"/>
    <x:tableColumn id="6" name="建议动作"/>
    <x:tableColumn id="7" name="处理状态"/>
    <x:tableColumn id="8" name="证据/备注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7" name="WarningRulesTable" displayName="WarningRulesTable" ref="A5:D10" headerRowCount="1" totalsRowCount="0" totalsRowShown="0">
  <x:tableColumns count="4">
    <x:tableColumn id="1" name="预警指标"/>
    <x:tableColumn id="2" name="触发条件"/>
    <x:tableColumn id="3" name="建议节点"/>
    <x:tableColumn id="4" name="启用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38" name="WarningSummaryTable" displayName="WarningSummaryTable" ref="F5:H10" headerRowCount="1" totalsRowCount="0" totalsRowShown="0">
  <x:tableColumns count="3">
    <x:tableColumn id="1" name="汇总指标"/>
    <x:tableColumn id="2" name="当前值"/>
    <x:tableColumn id="3" name="说明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39" name="WarningQueueTable" displayName="WarningQueueTable" ref="A13:H19" headerRowCount="1" totalsRowCount="0" totalsRowShown="0">
  <x:tableColumns count="8">
    <x:tableColumn id="1" name="商品ID"/>
    <x:tableColumn id="2" name="店铺"/>
    <x:tableColumn id="3" name="预警类型"/>
    <x:tableColumn id="4" name="当前指标"/>
    <x:tableColumn id="5" name="变化值"/>
    <x:tableColumn id="6" name="建议动作"/>
    <x:tableColumn id="7" name="处理状态"/>
    <x:tableColumn id="8" name="证据/备注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9" name="WarningRulesTable" displayName="WarningRulesTable" ref="A5:D10" headerRowCount="1" totalsRowCount="0" totalsRowShown="0">
  <x:tableColumns count="4">
    <x:tableColumn id="1" name="预警指标"/>
    <x:tableColumn id="2" name="触发条件"/>
    <x:tableColumn id="3" name="建议节点"/>
    <x:tableColumn id="4" name="启用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50" name="WarningSummaryTable" displayName="WarningSummaryTable" ref="F5:H10" headerRowCount="1" totalsRowCount="0" totalsRowShown="0">
  <x:tableColumns count="3">
    <x:tableColumn id="1" name="汇总指标"/>
    <x:tableColumn id="2" name="当前值"/>
    <x:tableColumn id="3" name="说明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51" name="WarningQueueTable" displayName="WarningQueueTable" ref="A13:H19" headerRowCount="1" totalsRowCount="0" totalsRowShown="0">
  <x:tableColumns count="8">
    <x:tableColumn id="1" name="商品ID"/>
    <x:tableColumn id="2" name="店铺"/>
    <x:tableColumn id="3" name="预警类型"/>
    <x:tableColumn id="4" name="当前指标"/>
    <x:tableColumn id="5" name="变化值"/>
    <x:tableColumn id="6" name="建议动作"/>
    <x:tableColumn id="7" name="处理状态"/>
    <x:tableColumn id="8" name="证据/备注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18" name="KnowledgeBaseTable" displayName="KnowledgeBaseTable" ref="A5:J10" headerRowCount="1" totalsRowCount="0" totalsRowShown="0">
  <x:tableColumns count="10">
    <x:tableColumn id="1" name="方法ID"/>
    <x:tableColumn id="2" name="方法标题"/>
    <x:tableColumn id="3" name="分类"/>
    <x:tableColumn id="4" name="适用场景"/>
    <x:tableColumn id="5" name="验证商品/对象"/>
    <x:tableColumn id="6" name="证据摘要"/>
    <x:tableColumn id="7" name="验证状态"/>
    <x:tableColumn id="8" name="负责人"/>
    <x:tableColumn id="9" name="复用次数"/>
    <x:tableColumn id="10" name="备注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29" name="KnowledgeBaseTable" displayName="KnowledgeBaseTable" ref="A5:J10" headerRowCount="1" totalsRowCount="0" totalsRowShown="0">
  <x:tableColumns count="10">
    <x:tableColumn id="1" name="方法ID"/>
    <x:tableColumn id="2" name="方法标题"/>
    <x:tableColumn id="3" name="分类"/>
    <x:tableColumn id="4" name="适用场景"/>
    <x:tableColumn id="5" name="验证商品/对象"/>
    <x:tableColumn id="6" name="证据摘要"/>
    <x:tableColumn id="7" name="验证状态"/>
    <x:tableColumn id="8" name="负责人"/>
    <x:tableColumn id="9" name="复用次数"/>
    <x:tableColumn id="10" name="备注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0" name="KnowledgeBaseTable" displayName="KnowledgeBaseTable" ref="A5:J10" headerRowCount="1" totalsRowCount="0" totalsRowShown="0">
  <x:tableColumns count="10">
    <x:tableColumn id="1" name="方法ID"/>
    <x:tableColumn id="2" name="方法标题"/>
    <x:tableColumn id="3" name="分类"/>
    <x:tableColumn id="4" name="适用场景"/>
    <x:tableColumn id="5" name="验证商品/对象"/>
    <x:tableColumn id="6" name="证据摘要"/>
    <x:tableColumn id="7" name="验证状态"/>
    <x:tableColumn id="8" name="负责人"/>
    <x:tableColumn id="9" name="复用次数"/>
    <x:tableColumn id="10" name="备注"/>
  </x:tableColumns>
  <x:tableStyleInfo name="TableStyleMedium2" showFirstColumn="0" showLastColumn="0" showRowStripes="1" showColumnStripes="0"/>
</x:table>
</file>

<file path=xl/tables/table48.xml><?xml version="1.0" encoding="utf-8"?>
<x:table xmlns:x="http://schemas.openxmlformats.org/spreadsheetml/2006/main" id="52" name="KnowledgeBaseTable" displayName="KnowledgeBaseTable" ref="A5:J10" headerRowCount="1" totalsRowCount="0" totalsRowShown="0">
  <x:tableColumns count="10">
    <x:tableColumn id="1" name="方法ID"/>
    <x:tableColumn id="2" name="方法标题"/>
    <x:tableColumn id="3" name="分类"/>
    <x:tableColumn id="4" name="适用场景"/>
    <x:tableColumn id="5" name="验证商品/对象"/>
    <x:tableColumn id="6" name="证据摘要"/>
    <x:tableColumn id="7" name="验证状态"/>
    <x:tableColumn id="8" name="负责人"/>
    <x:tableColumn id="9" name="复用次数"/>
    <x:tableColumn id="10" name="备注"/>
  </x:tableColumns>
  <x:tableStyleInfo name="TableStyleMedium2" showFirstColumn="0" showLastColumn="0" showRowStripes="1" showColumnStripes="0"/>
</x:table>
</file>

<file path=xl/tables/table49.xml><?xml version="1.0" encoding="utf-8"?>
<x:table xmlns:x="http://schemas.openxmlformats.org/spreadsheetml/2006/main" id="19" name="AgentDispatchTable" displayName="AgentDispatchTable" ref="A5:I11" headerRowCount="1" totalsRowCount="0" totalsRowShown="0">
  <x:tableColumns count="9">
    <x:tableColumn id="1" name="任务日期"/>
    <x:tableColumn id="2" name="Agent名称"/>
    <x:tableColumn id="3" name="触发入口"/>
    <x:tableColumn id="4" name="输入范围"/>
    <x:tableColumn id="5" name="任务目标"/>
    <x:tableColumn id="6" name="输出物"/>
    <x:tableColumn id="7" name="状态"/>
    <x:tableColumn id="8" name="复核人"/>
    <x:tableColumn id="9" name="备注"/>
  </x:tableColumns>
  <x:tableStyleInfo name="TableStyleMedium2" showFirstColumn="0" showLastColumn="0" showRowStripes="1" showColumnStripes="0"/>
</x:table>
</file>

<file path=xl/tables/table50.xml><?xml version="1.0" encoding="utf-8"?>
<x:table xmlns:x="http://schemas.openxmlformats.org/spreadsheetml/2006/main" id="30" name="AgentDispatchTable" displayName="AgentDispatchTable" ref="A5:I11" headerRowCount="1" totalsRowCount="0" totalsRowShown="0">
  <x:tableColumns count="9">
    <x:tableColumn id="1" name="任务日期"/>
    <x:tableColumn id="2" name="Agent名称"/>
    <x:tableColumn id="3" name="触发入口"/>
    <x:tableColumn id="4" name="输入范围"/>
    <x:tableColumn id="5" name="任务目标"/>
    <x:tableColumn id="6" name="输出物"/>
    <x:tableColumn id="7" name="状态"/>
    <x:tableColumn id="8" name="复核人"/>
    <x:tableColumn id="9" name="备注"/>
  </x:tableColumns>
  <x:tableStyleInfo name="TableStyleMedium2" showFirstColumn="0" showLastColumn="0" showRowStripes="1" showColumnStripes="0"/>
</x:table>
</file>

<file path=xl/tables/table51.xml><?xml version="1.0" encoding="utf-8"?>
<x:table xmlns:x="http://schemas.openxmlformats.org/spreadsheetml/2006/main" id="41" name="AgentDispatchTable" displayName="AgentDispatchTable" ref="A5:I11" headerRowCount="1" totalsRowCount="0" totalsRowShown="0">
  <x:tableColumns count="9">
    <x:tableColumn id="1" name="任务日期"/>
    <x:tableColumn id="2" name="Agent名称"/>
    <x:tableColumn id="3" name="触发入口"/>
    <x:tableColumn id="4" name="输入范围"/>
    <x:tableColumn id="5" name="任务目标"/>
    <x:tableColumn id="6" name="输出物"/>
    <x:tableColumn id="7" name="状态"/>
    <x:tableColumn id="8" name="复核人"/>
    <x:tableColumn id="9" name="备注"/>
  </x:tableColumns>
  <x:tableStyleInfo name="TableStyleMedium2" showFirstColumn="0" showLastColumn="0" showRowStripes="1" showColumnStripes="0"/>
</x:table>
</file>

<file path=xl/tables/table52.xml><?xml version="1.0" encoding="utf-8"?>
<x:table xmlns:x="http://schemas.openxmlformats.org/spreadsheetml/2006/main" id="53" name="AgentDispatchTable" displayName="AgentDispatchTable" ref="A5:I11" headerRowCount="1" totalsRowCount="0" totalsRowShown="0">
  <x:tableColumns count="9">
    <x:tableColumn id="1" name="任务日期"/>
    <x:tableColumn id="2" name="Agent名称"/>
    <x:tableColumn id="3" name="触发入口"/>
    <x:tableColumn id="4" name="输入范围"/>
    <x:tableColumn id="5" name="任务目标"/>
    <x:tableColumn id="6" name="输出物"/>
    <x:tableColumn id="7" name="状态"/>
    <x:tableColumn id="8" name="复核人"/>
    <x:tableColumn id="9" name="备注"/>
  </x:tableColumns>
  <x:tableStyleInfo name="TableStyleMedium2" showFirstColumn="0" showLastColumn="0" showRowStripes="1" showColumnStripes="0"/>
</x:table>
</file>

<file path=xl/tables/table53.xml><?xml version="1.0" encoding="utf-8"?>
<x:table xmlns:x="http://schemas.openxmlformats.org/spreadsheetml/2006/main" id="42" name="CloudGuideTable" displayName="CloudGuideTable" ref="A5:D10" headerRowCount="1" totalsRowCount="0" totalsRowShown="0">
  <x:tableColumns count="4">
    <x:tableColumn id="1" name="步骤"/>
    <x:tableColumn id="2" name="运营操作"/>
    <x:tableColumn id="3" name="涉及工作表"/>
    <x:tableColumn id="4" name="网站对应页面"/>
  </x:tableColumns>
  <x:tableStyleInfo name="TableStyleMedium2" showFirstColumn="0" showLastColumn="0" showRowStripes="1" showColumnStripes="0"/>
</x:table>
</file>

<file path=xl/tables/table54.xml><?xml version="1.0" encoding="utf-8"?>
<x:table xmlns:x="http://schemas.openxmlformats.org/spreadsheetml/2006/main" id="54" name="CloudGuideTable" displayName="CloudGuideTable" ref="A5:D10" headerRowCount="1" totalsRowCount="0" totalsRowShown="0">
  <x:tableColumns count="4">
    <x:tableColumn id="1" name="步骤"/>
    <x:tableColumn id="2" name="运营操作"/>
    <x:tableColumn id="3" name="涉及工作表"/>
    <x:tableColumn id="4" name="网站对应页面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3083ac405748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a8eaf2273641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92083adf2f47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1e80c53d8e41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e65176067743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883b24f3b847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c9d8c1214246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0e9683743a4a7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2a9cc53e4e24981" /><Relationship Type="http://schemas.openxmlformats.org/officeDocument/2006/relationships/table" Target="/xl/tables/table10.xml" Id="R79f1b320cb7942c3" /><Relationship Type="http://schemas.openxmlformats.org/officeDocument/2006/relationships/table" Target="/xl/tables/table11.xml" Id="R06000813a4584e31" /><Relationship Type="http://schemas.openxmlformats.org/officeDocument/2006/relationships/table" Target="/xl/tables/table12.xml" Id="Rd4a6ad3fcb024f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7357b81ca4c74283" /><Relationship Type="http://schemas.openxmlformats.org/officeDocument/2006/relationships/table" Target="/xl/tables/table14.xml" Id="R7baeba3e567b45ca" /><Relationship Type="http://schemas.openxmlformats.org/officeDocument/2006/relationships/table" Target="/xl/tables/table15.xml" Id="R7a80f1cd0cd74774" /><Relationship Type="http://schemas.openxmlformats.org/officeDocument/2006/relationships/table" Target="/xl/tables/table16.xml" Id="R54919b9ac5534b1c" /><Relationship Type="http://schemas.openxmlformats.org/officeDocument/2006/relationships/table" Target="/xl/tables/table17.xml" Id="R5868c63495f545df" /><Relationship Type="http://schemas.openxmlformats.org/officeDocument/2006/relationships/table" Target="/xl/tables/table18.xml" Id="R4ebcdf2059b3498e" /><Relationship Type="http://schemas.openxmlformats.org/officeDocument/2006/relationships/table" Target="/xl/tables/table19.xml" Id="R8d1a1f606dbe4b6f" /><Relationship Type="http://schemas.openxmlformats.org/officeDocument/2006/relationships/table" Target="/xl/tables/table20.xml" Id="R955338c87a044e0e" /><Relationship Type="http://schemas.openxmlformats.org/officeDocument/2006/relationships/table" Target="/xl/tables/table21.xml" Id="R116c3ad528c14029" /><Relationship Type="http://schemas.openxmlformats.org/officeDocument/2006/relationships/table" Target="/xl/tables/table22.xml" Id="R1ae2a8cbd83748cd" /><Relationship Type="http://schemas.openxmlformats.org/officeDocument/2006/relationships/table" Target="/xl/tables/table23.xml" Id="R78611875befe4676" /><Relationship Type="http://schemas.openxmlformats.org/officeDocument/2006/relationships/table" Target="/xl/tables/table24.xml" Id="Re655ba8c83bc4a81" /><Relationship Type="http://schemas.openxmlformats.org/officeDocument/2006/relationships/table" Target="/xl/tables/table25.xml" Id="Rbf1e2611dff8426d" /><Relationship Type="http://schemas.openxmlformats.org/officeDocument/2006/relationships/table" Target="/xl/tables/table26.xml" Id="Raeed514329ad4871" /><Relationship Type="http://schemas.openxmlformats.org/officeDocument/2006/relationships/table" Target="/xl/tables/table27.xml" Id="R62384a40ce9c441e" /><Relationship Type="http://schemas.openxmlformats.org/officeDocument/2006/relationships/table" Target="/xl/tables/table28.xml" Id="R1204de4d06f541c3" /><Relationship Type="http://schemas.openxmlformats.org/officeDocument/2006/relationships/table" Target="/xl/tables/table29.xml" Id="R8bb70954cbe748ae" /><Relationship Type="http://schemas.openxmlformats.org/officeDocument/2006/relationships/table" Target="/xl/tables/table30.xml" Id="R5fc85ca3cb5546c3" /><Relationship Type="http://schemas.openxmlformats.org/officeDocument/2006/relationships/table" Target="/xl/tables/table31.xml" Id="R75826d8e1d924671" /><Relationship Type="http://schemas.openxmlformats.org/officeDocument/2006/relationships/table" Target="/xl/tables/table32.xml" Id="R403c32a42dad425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3.xml" Id="Rdb4958d209464383" /><Relationship Type="http://schemas.openxmlformats.org/officeDocument/2006/relationships/table" Target="/xl/tables/table34.xml" Id="R7283bbd1c21b43d8" /><Relationship Type="http://schemas.openxmlformats.org/officeDocument/2006/relationships/table" Target="/xl/tables/table35.xml" Id="R2b18e034901a45b7" /><Relationship Type="http://schemas.openxmlformats.org/officeDocument/2006/relationships/table" Target="/xl/tables/table36.xml" Id="Rece4a406001642bc" /><Relationship Type="http://schemas.openxmlformats.org/officeDocument/2006/relationships/table" Target="/xl/tables/table37.xml" Id="Rcff78d8d23774d02" /><Relationship Type="http://schemas.openxmlformats.org/officeDocument/2006/relationships/table" Target="/xl/tables/table38.xml" Id="Rb7536223e2714e6f" /><Relationship Type="http://schemas.openxmlformats.org/officeDocument/2006/relationships/table" Target="/xl/tables/table39.xml" Id="Rcae34c32a4eb4e08" /><Relationship Type="http://schemas.openxmlformats.org/officeDocument/2006/relationships/table" Target="/xl/tables/table40.xml" Id="R46d2fca408aa42aa" /><Relationship Type="http://schemas.openxmlformats.org/officeDocument/2006/relationships/table" Target="/xl/tables/table41.xml" Id="R4e16034218ee4da4" /><Relationship Type="http://schemas.openxmlformats.org/officeDocument/2006/relationships/table" Target="/xl/tables/table42.xml" Id="R89a6ab0db90e443c" /><Relationship Type="http://schemas.openxmlformats.org/officeDocument/2006/relationships/table" Target="/xl/tables/table43.xml" Id="Rdb60dcfa4ef44928" /><Relationship Type="http://schemas.openxmlformats.org/officeDocument/2006/relationships/table" Target="/xl/tables/table44.xml" Id="R8f2cf813c94648b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45.xml" Id="Rdb6ad6c6f1ad475a" /><Relationship Type="http://schemas.openxmlformats.org/officeDocument/2006/relationships/table" Target="/xl/tables/table46.xml" Id="R83b8db6fa8e54f76" /><Relationship Type="http://schemas.openxmlformats.org/officeDocument/2006/relationships/table" Target="/xl/tables/table47.xml" Id="R31f8203221b44b0b" /><Relationship Type="http://schemas.openxmlformats.org/officeDocument/2006/relationships/table" Target="/xl/tables/table48.xml" Id="R39cd867827604b0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49.xml" Id="Rbaee334c7bca4a01" /><Relationship Type="http://schemas.openxmlformats.org/officeDocument/2006/relationships/table" Target="/xl/tables/table50.xml" Id="Re5b90df1b11b4e64" /><Relationship Type="http://schemas.openxmlformats.org/officeDocument/2006/relationships/table" Target="/xl/tables/table51.xml" Id="Rf48e540672f24465" /><Relationship Type="http://schemas.openxmlformats.org/officeDocument/2006/relationships/table" Target="/xl/tables/table52.xml" Id="R210c574442c34b2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53.xml" Id="R36e06dad58184947" /><Relationship Type="http://schemas.openxmlformats.org/officeDocument/2006/relationships/table" Target="/xl/tables/table54.xml" Id="Rdc94cabd287145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4" hidden="0" customWidth="1"/>
    <x:col min="4" max="4" width="28" hidden="0" customWidth="1"/>
    <x:col min="5" max="5" width="12" hidden="0" customWidth="1"/>
    <x:col min="6" max="6" width="4" hidden="0" customWidth="1"/>
    <x:col min="7" max="7" width="4" hidden="0" customWidth="1"/>
    <x:col min="8" max="8" width="4" hidden="0" customWidth="1"/>
  </x:cols>
  <x:sheetData>
    <x:row r="1" ht="36" customHeight="1">
      <x:c r="A1" s="6" t="str">
        <x:v>TikTok AI运营中控台｜WPS/Kdocs 云文档模板</x:v>
      </x:c>
      <x:c r="B1" s="6"/>
      <x:c r="C1" s="6"/>
      <x:c r="D1" s="6"/>
      <x:c r="E1" s="6"/>
      <x:c r="F1" s="6"/>
      <x:c r="G1" s="6"/>
      <x:c r="H1" s="6"/>
    </x:row>
    <x:row r="2" ht="30" customHeight="1">
      <x:c r="A2" s="8" t="str">
        <x:v>运营只需要填写黄色区域；网站会读取这些字段生成店铺筛选、商品排行、动作验证和执行清单。</x:v>
      </x:c>
      <x:c r="B2" s="8"/>
      <x:c r="C2" s="8"/>
      <x:c r="D2" s="8"/>
      <x:c r="E2" s="8"/>
      <x:c r="F2" s="8"/>
      <x:c r="G2" s="8"/>
      <x:c r="H2" s="8"/>
    </x:row>
    <x:row r="3" ht="24" customHeight="1">
      <x:c r="A3" s="3"/>
      <x:c r="B3" s="3"/>
      <x:c r="C3" s="3"/>
      <x:c r="D3" s="3"/>
      <x:c r="E3" s="3"/>
      <x:c r="F3" s="3"/>
      <x:c r="G3" s="3"/>
      <x:c r="H3" s="3"/>
    </x:row>
    <x:row r="4" ht="24" customHeight="1">
      <x:c r="A4" s="197" t="str">
        <x:v>使用步骤</x:v>
      </x:c>
      <x:c r="B4" s="198" t="str">
        <x:v>说明</x:v>
      </x:c>
      <x:c r="C4" s="3"/>
      <x:c r="D4" s="197" t="str">
        <x:v>当前模板概览</x:v>
      </x:c>
      <x:c r="E4" s="198" t="str">
        <x:v>数量</x:v>
      </x:c>
      <x:c r="F4" s="3"/>
      <x:c r="G4" s="3"/>
      <x:c r="H4" s="3"/>
    </x:row>
    <x:row r="5" ht="30" customHeight="1">
      <x:c r="A5" s="219" t="str">
        <x:v>1</x:v>
      </x:c>
      <x:c r="B5" s="204" t="str">
        <x:v>把本文件上传到 WPS/Kdocs，作为团队唯一的数据填报表。</x:v>
      </x:c>
      <x:c r="C5" s="3"/>
      <x:c r="D5" s="211" t="str">
        <x:v>店铺</x:v>
      </x:c>
      <x:c r="E5" s="225" t="n">
        <x:f>COUNTA('店铺日汇总'!B6:B105)</x:f>
        <x:v>4</x:v>
      </x:c>
      <x:c r="F5" s="3"/>
      <x:c r="G5" s="3"/>
      <x:c r="H5" s="3"/>
    </x:row>
    <x:row r="6" ht="30" customHeight="1">
      <x:c r="A6" s="219" t="str">
        <x:v>2</x:v>
      </x:c>
      <x:c r="B6" s="204" t="str">
        <x:v>运营只编辑黄色输入区域，不要修改表头和字段名。</x:v>
      </x:c>
      <x:c r="C6" s="3"/>
      <x:c r="D6" s="211" t="str">
        <x:v>商品记录</x:v>
      </x:c>
      <x:c r="E6" s="225" t="n">
        <x:f>COUNTA('商品数据'!C6:C105)</x:f>
        <x:v>6</x:v>
      </x:c>
      <x:c r="F6" s="3"/>
      <x:c r="G6" s="3"/>
      <x:c r="H6" s="3"/>
    </x:row>
    <x:row r="7" ht="30" customHeight="1">
      <x:c r="A7" s="219" t="str">
        <x:v>3</x:v>
      </x:c>
      <x:c r="B7" s="204" t="str">
        <x:v>每天补充店铺汇总、商品数据和已执行动作；缺失数据留空。</x:v>
      </x:c>
      <x:c r="C7" s="3"/>
      <x:c r="D7" s="211" t="str">
        <x:v>运营动作</x:v>
      </x:c>
      <x:c r="E7" s="225" t="n">
        <x:f>COUNTA('运营动作'!D6:D105)</x:f>
        <x:v>5</x:v>
      </x:c>
      <x:c r="F7" s="3"/>
      <x:c r="G7" s="3"/>
      <x:c r="H7" s="3"/>
    </x:row>
    <x:row r="8" ht="30" customHeight="1">
      <x:c r="A8" s="219" t="str">
        <x:v>4</x:v>
      </x:c>
      <x:c r="B8" s="204" t="str">
        <x:v>维护完成后导出对应 CSV，或将公开数据链接接入网站同步。</x:v>
      </x:c>
      <x:c r="C8" s="3"/>
      <x:c r="D8" s="211" t="str">
        <x:v>广告计划</x:v>
      </x:c>
      <x:c r="E8" s="225" t="n">
        <x:f>COUNTA('广告计划'!C6:C105)</x:f>
        <x:v>3</x:v>
      </x:c>
      <x:c r="F8" s="3"/>
      <x:c r="G8" s="3"/>
      <x:c r="H8" s="3"/>
    </x:row>
    <x:row r="9" ht="30" customHeight="1">
      <x:c r="A9" s="220" t="str">
        <x:v>5</x:v>
      </x:c>
      <x:c r="B9" s="206" t="str">
        <x:v>有效/无效必须有 T+1、T+3、T+7 的真实证据，不能凭感觉填写。</x:v>
      </x:c>
      <x:c r="C9" s="3"/>
      <x:c r="D9" s="213" t="str">
        <x:v>发布趋势记录</x:v>
      </x:c>
      <x:c r="E9" s="226" t="n">
        <x:f>COUNTA('发布趋势'!A6:A105)</x:f>
        <x:v>7</x:v>
      </x:c>
      <x:c r="F9" s="3"/>
      <x:c r="G9" s="3"/>
      <x:c r="H9" s="3"/>
    </x:row>
    <x:row r="10" ht="24" customHeight="1">
      <x:c r="A10" s="3"/>
      <x:c r="B10" s="3"/>
      <x:c r="C10" s="3"/>
      <x:c r="D10" s="3"/>
      <x:c r="E10" s="3"/>
      <x:c r="F10" s="3"/>
      <x:c r="G10" s="3"/>
      <x:c r="H10" s="3"/>
    </x:row>
    <x:row r="11" ht="24" customHeight="1">
      <x:c r="A11" s="3"/>
      <x:c r="B11" s="3"/>
      <x:c r="C11" s="3"/>
      <x:c r="D11" s="3"/>
      <x:c r="E11" s="3"/>
      <x:c r="F11" s="3"/>
      <x:c r="G11" s="3"/>
      <x:c r="H11" s="3"/>
    </x:row>
    <x:row r="12" ht="30" customHeight="1">
      <x:c r="A12" s="17" t="str">
        <x:v>颜色说明：黄色 = 运营填写；蓝色 = 网站/公式使用；绿色 = 验证有效；橙色 = 待验证；红色 = 验证无效。</x:v>
      </x:c>
      <x:c r="B12" s="17"/>
      <x:c r="C12" s="17"/>
      <x:c r="D12" s="17"/>
      <x:c r="E12" s="17"/>
      <x:c r="F12" s="17"/>
      <x:c r="G12" s="17"/>
      <x:c r="H12" s="17"/>
    </x:row>
    <x:row r="13" ht="30" customHeight="1">
      <x:c r="A13" s="3"/>
      <x:c r="B13" s="3"/>
      <x:c r="C13" s="3"/>
      <x:c r="D13" s="3"/>
      <x:c r="E13" s="3"/>
      <x:c r="F13" s="3"/>
      <x:c r="G13" s="3"/>
      <x:c r="H13" s="3"/>
    </x:row>
    <x:row r="14" ht="30" customHeight="1">
      <x:c r="A14" s="19" t="str">
        <x:v>数据边界：当前数据是演示模板。替换真实数据前，请确认店铺、日期范围、GMV币种、权限和敏感字段。</x:v>
      </x:c>
      <x:c r="B14" s="19"/>
      <x:c r="C14" s="19"/>
      <x:c r="D14" s="19"/>
      <x:c r="E14" s="19"/>
      <x:c r="F14" s="19"/>
      <x:c r="G14" s="19"/>
      <x:c r="H14" s="19"/>
    </x:row>
    <x:row r="16">
      <x:c r="A16"/>
      <x:c r="B16"/>
      <x:c r="C16"/>
      <x:c r="D16"/>
      <x:c r="E16"/>
      <x:c r="F16"/>
      <x:c r="G16"/>
      <x:c r="H16"/>
    </x:row>
    <x:row r="17" ht="32" customHeight="1">
      <x:c r="A17"/>
      <x:c r="B17"/>
      <x:c r="C17"/>
      <x:c r="D17"/>
      <x:c r="E17"/>
      <x:c r="F17"/>
      <x:c r="G17"/>
      <x:c r="H17"/>
    </x:row>
    <x:row r="18" ht="32" customHeight="1">
      <x:c r="A18"/>
      <x:c r="B18"/>
      <x:c r="C18"/>
      <x:c r="D18"/>
      <x:c r="E18"/>
      <x:c r="F18"/>
      <x:c r="G18"/>
      <x:c r="H18"/>
    </x:row>
    <x:row r="19" ht="32" customHeight="1">
      <x:c r="A19"/>
      <x:c r="B19"/>
      <x:c r="C19"/>
      <x:c r="D19"/>
      <x:c r="E19"/>
      <x:c r="F19"/>
      <x:c r="G19"/>
      <x:c r="H19"/>
    </x:row>
    <x:row r="20" ht="32" customHeight="1">
      <x:c r="A20"/>
      <x:c r="B20"/>
      <x:c r="C20"/>
      <x:c r="D20"/>
      <x:c r="E20"/>
      <x:c r="F20"/>
      <x:c r="G20"/>
      <x:c r="H20"/>
    </x:row>
    <x:row r="21" ht="32" customHeight="1">
      <x:c r="A21"/>
      <x:c r="B21"/>
      <x:c r="C21"/>
      <x:c r="D21"/>
      <x:c r="E21"/>
      <x:c r="F21"/>
      <x:c r="G21"/>
      <x:c r="H21"/>
    </x:row>
    <x:row r="23" ht="36" customHeight="1">
      <x:c r="A23"/>
      <x:c r="B23"/>
      <x:c r="C23"/>
      <x:c r="D23"/>
      <x:c r="E23"/>
      <x:c r="F23"/>
      <x:c r="G23"/>
      <x:c r="H23"/>
    </x:row>
  </x:sheetData>
  <x:mergeCells>
    <x:mergeCell ref="A1:H1"/>
    <x:mergeCell ref="A2:H2"/>
    <x:mergeCell ref="A12:H12"/>
    <x:mergeCell ref="A14:H14"/>
    <x:mergeCell ref="A16:H16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3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3" hidden="0" customWidth="1"/>
    <x:col min="10" max="10" width="15" hidden="0" customWidth="1"/>
    <x:col min="11" max="11" width="12" hidden="0" customWidth="1"/>
    <x:col min="12" max="12" width="12" hidden="0" customWidth="1"/>
    <x:col min="13" max="13" width="12" hidden="0" customWidth="1"/>
    <x:col min="14" max="14" width="28" hidden="0" customWidth="1"/>
  </x:cols>
  <x:sheetData>
    <x:row r="1" ht="34" customHeight="1">
      <x:c r="A1" s="35" t="str">
        <x:v>店铺日汇总｜运营填写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7"/>
    </x:row>
    <x:row r="2" ht="30" customHeight="1">
      <x:c r="A2" s="42" t="str">
        <x:v>按日期和店铺填写总览指标；“全部店铺”可以作为汇总行保留。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4"/>
    </x:row>
    <x:row r="3" ht="21" customHeight="1">
      <x:c r="A3" s="24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25"/>
    </x:row>
    <x:row r="4" ht="21" customHeight="1">
      <x:c r="A4" s="24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25"/>
    </x:row>
    <x:row r="5" ht="30" customHeight="1">
      <x:c r="A5" s="50" t="str">
        <x:v>日期</x:v>
      </x:c>
      <x:c r="B5" s="50" t="str">
        <x:v>店铺</x:v>
      </x:c>
      <x:c r="C5" s="50" t="str">
        <x:v>店铺GMV(CNY)</x:v>
      </x:c>
      <x:c r="D5" s="50" t="str">
        <x:v>成交订单</x:v>
      </x:c>
      <x:c r="E5" s="50" t="str">
        <x:v>店铺总曝光</x:v>
      </x:c>
      <x:c r="F5" s="50" t="str">
        <x:v>成交转化率(%)</x:v>
      </x:c>
      <x:c r="G5" s="50" t="str">
        <x:v>今日自营发布</x:v>
      </x:c>
      <x:c r="H5" s="50" t="str">
        <x:v>短视频占比(%)</x:v>
      </x:c>
      <x:c r="I5" s="50" t="str">
        <x:v>直播占比(%)</x:v>
      </x:c>
      <x:c r="J5" s="50" t="str">
        <x:v>商品卡占比(%)</x:v>
      </x:c>
      <x:c r="K5" s="50" t="str">
        <x:v>其他占比(%)</x:v>
      </x:c>
      <x:c r="L5" s="50" t="str">
        <x:v>动作进度</x:v>
      </x:c>
      <x:c r="M5" s="50" t="str">
        <x:v>数据状态</x:v>
      </x:c>
      <x:c r="N5" s="50" t="str">
        <x:v>备注</x:v>
      </x:c>
    </x:row>
    <x:row r="6" ht="21" customHeight="1">
      <x:c r="A6" s="59" t="n">
        <x:v>46263</x:v>
      </x:c>
      <x:c r="B6" s="12" t="str">
        <x:v>全部店铺</x:v>
      </x:c>
      <x:c r="C6" s="60" t="n">
        <x:v>128420</x:v>
      </x:c>
      <x:c r="D6" s="12" t="n">
        <x:v>1862</x:v>
      </x:c>
      <x:c r="E6" s="12" t="n">
        <x:v>2840000</x:v>
      </x:c>
      <x:c r="F6" s="61" t="n">
        <x:v>3.86</x:v>
      </x:c>
      <x:c r="G6" s="61" t="n">
        <x:v>32</x:v>
      </x:c>
      <x:c r="H6" s="61" t="n">
        <x:v>42</x:v>
      </x:c>
      <x:c r="I6" s="61" t="n">
        <x:v>31</x:v>
      </x:c>
      <x:c r="J6" s="61" t="n">
        <x:v>19</x:v>
      </x:c>
      <x:c r="K6" s="61" t="n">
        <x:v>8</x:v>
      </x:c>
      <x:c r="L6" s="12" t="str">
        <x:v>6 / 9</x:v>
      </x:c>
      <x:c r="M6" s="14" t="str">
        <x:f>IF(B6="","待填写","已填写")</x:f>
        <x:v>已填写</x:v>
      </x:c>
      <x:c r="N6" s="25" t="str"/>
    </x:row>
    <x:row r="7" ht="21" customHeight="1">
      <x:c r="A7" s="59" t="n">
        <x:v>46263</x:v>
      </x:c>
      <x:c r="B7" s="12" t="str">
        <x:v>US-旗舰店</x:v>
      </x:c>
      <x:c r="C7" s="60" t="n">
        <x:v>55040</x:v>
      </x:c>
      <x:c r="D7" s="12" t="n">
        <x:v>760</x:v>
      </x:c>
      <x:c r="E7" s="12" t="n">
        <x:v>1250000</x:v>
      </x:c>
      <x:c r="F7" s="61" t="n">
        <x:v>4.22</x:v>
      </x:c>
      <x:c r="G7" s="61" t="n">
        <x:v>16</x:v>
      </x:c>
      <x:c r="H7" s="61" t="n">
        <x:v>48</x:v>
      </x:c>
      <x:c r="I7" s="61" t="n">
        <x:v>28</x:v>
      </x:c>
      <x:c r="J7" s="61" t="n">
        <x:v>17</x:v>
      </x:c>
      <x:c r="K7" s="61" t="n">
        <x:v>7</x:v>
      </x:c>
      <x:c r="L7" s="12" t="str">
        <x:v>3 / 5</x:v>
      </x:c>
      <x:c r="M7" s="14" t="str">
        <x:f>IF(B7="","待填写","已填写")</x:f>
        <x:v>已填写</x:v>
      </x:c>
      <x:c r="N7" s="25" t="str"/>
    </x:row>
    <x:row r="8" ht="21" customHeight="1">
      <x:c r="A8" s="59" t="n">
        <x:v>46263</x:v>
      </x:c>
      <x:c r="B8" s="12" t="str">
        <x:v>US-日用店</x:v>
      </x:c>
      <x:c r="C8" s="60" t="n">
        <x:v>40260</x:v>
      </x:c>
      <x:c r="D8" s="12" t="n">
        <x:v>592</x:v>
      </x:c>
      <x:c r="E8" s="12" t="n">
        <x:v>890000</x:v>
      </x:c>
      <x:c r="F8" s="61" t="n">
        <x:v>3.48</x:v>
      </x:c>
      <x:c r="G8" s="61" t="n">
        <x:v>9</x:v>
      </x:c>
      <x:c r="H8" s="61" t="n">
        <x:v>39</x:v>
      </x:c>
      <x:c r="I8" s="61" t="n">
        <x:v>34</x:v>
      </x:c>
      <x:c r="J8" s="61" t="n">
        <x:v>19</x:v>
      </x:c>
      <x:c r="K8" s="61" t="n">
        <x:v>8</x:v>
      </x:c>
      <x:c r="L8" s="12" t="str">
        <x:v>2 / 3</x:v>
      </x:c>
      <x:c r="M8" s="14" t="str">
        <x:f>IF(B8="","待填写","已填写")</x:f>
        <x:v>已填写</x:v>
      </x:c>
      <x:c r="N8" s="25" t="str"/>
    </x:row>
    <x:row r="9" ht="21" customHeight="1">
      <x:c r="A9" s="62" t="n">
        <x:v>46263</x:v>
      </x:c>
      <x:c r="B9" s="63" t="str">
        <x:v>TH-主店</x:v>
      </x:c>
      <x:c r="C9" s="64" t="n">
        <x:v>33120</x:v>
      </x:c>
      <x:c r="D9" s="63" t="n">
        <x:v>510</x:v>
      </x:c>
      <x:c r="E9" s="63" t="n">
        <x:v>700000</x:v>
      </x:c>
      <x:c r="F9" s="65" t="n">
        <x:v>3.72</x:v>
      </x:c>
      <x:c r="G9" s="65" t="n">
        <x:v>7</x:v>
      </x:c>
      <x:c r="H9" s="65" t="n">
        <x:v>37</x:v>
      </x:c>
      <x:c r="I9" s="65" t="n">
        <x:v>30</x:v>
      </x:c>
      <x:c r="J9" s="65" t="n">
        <x:v>23</x:v>
      </x:c>
      <x:c r="K9" s="65" t="n">
        <x:v>10</x:v>
      </x:c>
      <x:c r="L9" s="63" t="str">
        <x:v>1 / 2</x:v>
      </x:c>
      <x:c r="M9" s="69" t="str">
        <x:f>IF(B9="","待填写","已填写")</x:f>
        <x:v>已填写</x:v>
      </x:c>
      <x:c r="N9" s="28" t="str"/>
    </x:row>
    <x:row r="10">
      <x:c r="A10" s="66"/>
      <x:c r="B10" s="66"/>
      <x:c r="C10" s="67"/>
      <x:c r="D10" s="66"/>
      <x:c r="E10" s="66"/>
      <x:c r="F10" s="68"/>
      <x:c r="G10" s="68"/>
      <x:c r="H10" s="68"/>
      <x:c r="I10" s="68"/>
      <x:c r="J10" s="68"/>
      <x:c r="K10" s="68"/>
      <x:c r="L10" s="66"/>
      <x:c r="M10" s="70" t="str">
        <x:f>IF(B10="","待填写","已填写")</x:f>
        <x:v>待填写</x:v>
      </x:c>
    </x:row>
    <x:row r="11">
      <x:c r="A11" s="66"/>
      <x:c r="B11" s="66"/>
      <x:c r="C11" s="67"/>
      <x:c r="D11" s="66"/>
      <x:c r="E11" s="66"/>
      <x:c r="F11" s="68"/>
      <x:c r="G11" s="68"/>
      <x:c r="H11" s="68"/>
      <x:c r="I11" s="68"/>
      <x:c r="J11" s="68"/>
      <x:c r="K11" s="68"/>
      <x:c r="L11" s="66"/>
      <x:c r="M11" s="70" t="str">
        <x:f>IF(B11="","待填写","已填写")</x:f>
        <x:v>待填写</x:v>
      </x:c>
    </x:row>
    <x:row r="12">
      <x:c r="A12" s="66"/>
      <x:c r="B12" s="66"/>
      <x:c r="C12" s="67"/>
      <x:c r="D12" s="66"/>
      <x:c r="E12" s="66"/>
      <x:c r="F12" s="68"/>
      <x:c r="G12" s="68"/>
      <x:c r="H12" s="68"/>
      <x:c r="I12" s="68"/>
      <x:c r="J12" s="68"/>
      <x:c r="K12" s="68"/>
      <x:c r="L12" s="66"/>
      <x:c r="M12" s="70" t="str">
        <x:f>IF(B12="","待填写","已填写")</x:f>
        <x:v>待填写</x:v>
      </x:c>
    </x:row>
    <x:row r="13">
      <x:c r="A13" s="66"/>
      <x:c r="B13" s="66"/>
      <x:c r="C13" s="67"/>
      <x:c r="D13" s="66"/>
      <x:c r="E13" s="66"/>
      <x:c r="F13" s="68"/>
      <x:c r="G13" s="68"/>
      <x:c r="H13" s="68"/>
      <x:c r="I13" s="68"/>
      <x:c r="J13" s="68"/>
      <x:c r="K13" s="68"/>
      <x:c r="L13" s="66"/>
      <x:c r="M13" s="70" t="str">
        <x:f>IF(B13="","待填写","已填写")</x:f>
        <x:v>待填写</x:v>
      </x:c>
    </x:row>
    <x:row r="14">
      <x:c r="A14" s="66"/>
      <x:c r="B14" s="66"/>
      <x:c r="C14" s="67"/>
      <x:c r="D14" s="66"/>
      <x:c r="E14" s="66"/>
      <x:c r="F14" s="68"/>
      <x:c r="G14" s="68"/>
      <x:c r="H14" s="68"/>
      <x:c r="I14" s="68"/>
      <x:c r="J14" s="68"/>
      <x:c r="K14" s="68"/>
      <x:c r="L14" s="66"/>
      <x:c r="M14" s="70" t="str">
        <x:f>IF(B14="","待填写","已填写")</x:f>
        <x:v>待填写</x:v>
      </x:c>
    </x:row>
    <x:row r="15">
      <x:c r="A15" s="66"/>
      <x:c r="B15" s="66"/>
      <x:c r="C15" s="67"/>
      <x:c r="D15" s="66"/>
      <x:c r="E15" s="66"/>
      <x:c r="F15" s="68"/>
      <x:c r="G15" s="68"/>
      <x:c r="H15" s="68"/>
      <x:c r="I15" s="68"/>
      <x:c r="J15" s="68"/>
      <x:c r="K15" s="68"/>
      <x:c r="L15" s="66"/>
      <x:c r="M15" s="70" t="str">
        <x:f>IF(B15="","待填写","已填写")</x:f>
        <x:v>待填写</x:v>
      </x:c>
    </x:row>
    <x:row r="16">
      <x:c r="A16" s="66"/>
      <x:c r="B16" s="66"/>
      <x:c r="C16" s="67"/>
      <x:c r="D16" s="66"/>
      <x:c r="E16" s="66"/>
      <x:c r="F16" s="68"/>
      <x:c r="G16" s="68"/>
      <x:c r="H16" s="68"/>
      <x:c r="I16" s="68"/>
      <x:c r="J16" s="68"/>
      <x:c r="K16" s="68"/>
      <x:c r="L16" s="66"/>
      <x:c r="M16" s="70" t="str">
        <x:f>IF(B16="","待填写","已填写")</x:f>
        <x:v>待填写</x:v>
      </x:c>
    </x:row>
    <x:row r="17">
      <x:c r="A17" s="66"/>
      <x:c r="B17" s="66"/>
      <x:c r="C17" s="67"/>
      <x:c r="D17" s="66"/>
      <x:c r="E17" s="66"/>
      <x:c r="F17" s="68"/>
      <x:c r="G17" s="68"/>
      <x:c r="H17" s="68"/>
      <x:c r="I17" s="68"/>
      <x:c r="J17" s="68"/>
      <x:c r="K17" s="68"/>
      <x:c r="L17" s="66"/>
      <x:c r="M17" s="70" t="str">
        <x:f>IF(B17="","待填写","已填写")</x:f>
        <x:v>待填写</x:v>
      </x:c>
    </x:row>
    <x:row r="18">
      <x:c r="A18" s="66"/>
      <x:c r="B18" s="66"/>
      <x:c r="C18" s="67"/>
      <x:c r="D18" s="66"/>
      <x:c r="E18" s="66"/>
      <x:c r="F18" s="68"/>
      <x:c r="G18" s="68"/>
      <x:c r="H18" s="68"/>
      <x:c r="I18" s="68"/>
      <x:c r="J18" s="68"/>
      <x:c r="K18" s="68"/>
      <x:c r="L18" s="66"/>
      <x:c r="M18" s="70" t="str">
        <x:f>IF(B18="","待填写","已填写")</x:f>
        <x:v>待填写</x:v>
      </x:c>
    </x:row>
    <x:row r="19">
      <x:c r="A19" s="66"/>
      <x:c r="B19" s="66"/>
      <x:c r="C19" s="67"/>
      <x:c r="D19" s="66"/>
      <x:c r="E19" s="66"/>
      <x:c r="F19" s="68"/>
      <x:c r="G19" s="68"/>
      <x:c r="H19" s="68"/>
      <x:c r="I19" s="68"/>
      <x:c r="J19" s="68"/>
      <x:c r="K19" s="68"/>
      <x:c r="L19" s="66"/>
      <x:c r="M19" s="70" t="str">
        <x:f>IF(B19="","待填写","已填写")</x:f>
        <x:v>待填写</x:v>
      </x:c>
    </x:row>
    <x:row r="20">
      <x:c r="A20" s="66"/>
      <x:c r="B20" s="66"/>
      <x:c r="C20" s="67"/>
      <x:c r="D20" s="66"/>
      <x:c r="E20" s="66"/>
      <x:c r="F20" s="68"/>
      <x:c r="G20" s="68"/>
      <x:c r="H20" s="68"/>
      <x:c r="I20" s="68"/>
      <x:c r="J20" s="68"/>
      <x:c r="K20" s="68"/>
      <x:c r="L20" s="66"/>
      <x:c r="M20" s="70" t="str">
        <x:f>IF(B20="","待填写","已填写")</x:f>
        <x:v>待填写</x:v>
      </x:c>
    </x:row>
    <x:row r="21">
      <x:c r="A21" s="66"/>
      <x:c r="B21" s="66"/>
      <x:c r="C21" s="67"/>
      <x:c r="D21" s="66"/>
      <x:c r="E21" s="66"/>
      <x:c r="F21" s="68"/>
      <x:c r="G21" s="68"/>
      <x:c r="H21" s="68"/>
      <x:c r="I21" s="68"/>
      <x:c r="J21" s="68"/>
      <x:c r="K21" s="68"/>
      <x:c r="L21" s="66"/>
      <x:c r="M21" s="70" t="str">
        <x:f>IF(B21="","待填写","已填写")</x:f>
        <x:v>待填写</x:v>
      </x:c>
    </x:row>
    <x:row r="22">
      <x:c r="A22" s="66"/>
      <x:c r="B22" s="66"/>
      <x:c r="C22" s="67"/>
      <x:c r="D22" s="66"/>
      <x:c r="E22" s="66"/>
      <x:c r="F22" s="68"/>
      <x:c r="G22" s="68"/>
      <x:c r="H22" s="68"/>
      <x:c r="I22" s="68"/>
      <x:c r="J22" s="68"/>
      <x:c r="K22" s="68"/>
      <x:c r="L22" s="66"/>
      <x:c r="M22" s="70" t="str">
        <x:f>IF(B22="","待填写","已填写")</x:f>
        <x:v>待填写</x:v>
      </x:c>
    </x:row>
    <x:row r="23">
      <x:c r="A23" s="66"/>
      <x:c r="B23" s="66"/>
      <x:c r="C23" s="67"/>
      <x:c r="D23" s="66"/>
      <x:c r="E23" s="66"/>
      <x:c r="F23" s="68"/>
      <x:c r="G23" s="68"/>
      <x:c r="H23" s="68"/>
      <x:c r="I23" s="68"/>
      <x:c r="J23" s="68"/>
      <x:c r="K23" s="68"/>
      <x:c r="L23" s="66"/>
      <x:c r="M23" s="70" t="str">
        <x:f>IF(B23="","待填写","已填写")</x:f>
        <x:v>待填写</x:v>
      </x:c>
    </x:row>
    <x:row r="24">
      <x:c r="A24" s="66"/>
      <x:c r="B24" s="66"/>
      <x:c r="C24" s="67"/>
      <x:c r="D24" s="66"/>
      <x:c r="E24" s="66"/>
      <x:c r="F24" s="68"/>
      <x:c r="G24" s="68"/>
      <x:c r="H24" s="68"/>
      <x:c r="I24" s="68"/>
      <x:c r="J24" s="68"/>
      <x:c r="K24" s="68"/>
      <x:c r="L24" s="66"/>
      <x:c r="M24" s="70" t="str">
        <x:f>IF(B24="","待填写","已填写")</x:f>
        <x:v>待填写</x:v>
      </x:c>
    </x:row>
    <x:row r="25">
      <x:c r="A25" s="66"/>
      <x:c r="B25" s="66"/>
      <x:c r="C25" s="67"/>
      <x:c r="D25" s="66"/>
      <x:c r="E25" s="66"/>
      <x:c r="F25" s="68"/>
      <x:c r="G25" s="68"/>
      <x:c r="H25" s="68"/>
      <x:c r="I25" s="68"/>
      <x:c r="J25" s="68"/>
      <x:c r="K25" s="68"/>
      <x:c r="L25" s="66"/>
      <x:c r="M25" s="70" t="str">
        <x:f>IF(B25="","待填写","已填写")</x:f>
        <x:v>待填写</x:v>
      </x:c>
    </x:row>
    <x:row r="26">
      <x:c r="A26" s="66"/>
      <x:c r="B26" s="66"/>
      <x:c r="C26" s="67"/>
      <x:c r="D26" s="66"/>
      <x:c r="E26" s="66"/>
      <x:c r="F26" s="68"/>
      <x:c r="G26" s="68"/>
      <x:c r="H26" s="68"/>
      <x:c r="I26" s="68"/>
      <x:c r="J26" s="68"/>
      <x:c r="K26" s="68"/>
      <x:c r="L26" s="66"/>
      <x:c r="M26" s="70" t="str">
        <x:f>IF(B26="","待填写","已填写")</x:f>
        <x:v>待填写</x:v>
      </x:c>
    </x:row>
    <x:row r="27">
      <x:c r="A27" s="66"/>
      <x:c r="B27" s="66"/>
      <x:c r="C27" s="67"/>
      <x:c r="D27" s="66"/>
      <x:c r="E27" s="66"/>
      <x:c r="F27" s="68"/>
      <x:c r="G27" s="68"/>
      <x:c r="H27" s="68"/>
      <x:c r="I27" s="68"/>
      <x:c r="J27" s="68"/>
      <x:c r="K27" s="68"/>
      <x:c r="L27" s="66"/>
      <x:c r="M27" s="70" t="str">
        <x:f>IF(B27="","待填写","已填写")</x:f>
        <x:v>待填写</x:v>
      </x:c>
    </x:row>
    <x:row r="28">
      <x:c r="A28" s="66"/>
      <x:c r="B28" s="66"/>
      <x:c r="C28" s="67"/>
      <x:c r="D28" s="66"/>
      <x:c r="E28" s="66"/>
      <x:c r="F28" s="68"/>
      <x:c r="G28" s="68"/>
      <x:c r="H28" s="68"/>
      <x:c r="I28" s="68"/>
      <x:c r="J28" s="68"/>
      <x:c r="K28" s="68"/>
      <x:c r="L28" s="66"/>
      <x:c r="M28" s="70" t="str">
        <x:f>IF(B28="","待填写","已填写")</x:f>
        <x:v>待填写</x:v>
      </x:c>
    </x:row>
    <x:row r="29">
      <x:c r="A29" s="66"/>
      <x:c r="B29" s="66"/>
      <x:c r="C29" s="67"/>
      <x:c r="D29" s="66"/>
      <x:c r="E29" s="66"/>
      <x:c r="F29" s="68"/>
      <x:c r="G29" s="68"/>
      <x:c r="H29" s="68"/>
      <x:c r="I29" s="68"/>
      <x:c r="J29" s="68"/>
      <x:c r="K29" s="68"/>
      <x:c r="L29" s="66"/>
      <x:c r="M29" s="70" t="str">
        <x:f>IF(B29="","待填写","已填写")</x:f>
        <x:v>待填写</x:v>
      </x:c>
    </x:row>
    <x:row r="30">
      <x:c r="A30" s="66"/>
      <x:c r="B30" s="66"/>
      <x:c r="C30" s="67"/>
      <x:c r="D30" s="66"/>
      <x:c r="E30" s="66"/>
      <x:c r="F30" s="68"/>
      <x:c r="G30" s="68"/>
      <x:c r="H30" s="68"/>
      <x:c r="I30" s="68"/>
      <x:c r="J30" s="68"/>
      <x:c r="K30" s="68"/>
      <x:c r="L30" s="66"/>
      <x:c r="M30" s="70" t="str">
        <x:f>IF(B30="","待填写","已填写")</x:f>
        <x:v>待填写</x:v>
      </x:c>
    </x:row>
    <x:row r="31">
      <x:c r="A31" s="66"/>
      <x:c r="B31" s="66"/>
      <x:c r="C31" s="67"/>
      <x:c r="D31" s="66"/>
      <x:c r="E31" s="66"/>
      <x:c r="F31" s="68"/>
      <x:c r="G31" s="68"/>
      <x:c r="H31" s="68"/>
      <x:c r="I31" s="68"/>
      <x:c r="J31" s="68"/>
      <x:c r="K31" s="68"/>
      <x:c r="L31" s="66"/>
      <x:c r="M31" s="70" t="str">
        <x:f>IF(B31="","待填写","已填写")</x:f>
        <x:v>待填写</x:v>
      </x:c>
    </x:row>
    <x:row r="32">
      <x:c r="A32" s="66"/>
      <x:c r="B32" s="66"/>
      <x:c r="C32" s="67"/>
      <x:c r="D32" s="66"/>
      <x:c r="E32" s="66"/>
      <x:c r="F32" s="68"/>
      <x:c r="G32" s="68"/>
      <x:c r="H32" s="68"/>
      <x:c r="I32" s="68"/>
      <x:c r="J32" s="68"/>
      <x:c r="K32" s="68"/>
      <x:c r="L32" s="66"/>
      <x:c r="M32" s="70" t="str">
        <x:f>IF(B32="","待填写","已填写")</x:f>
        <x:v>待填写</x:v>
      </x:c>
    </x:row>
    <x:row r="33">
      <x:c r="A33" s="66"/>
      <x:c r="B33" s="66"/>
      <x:c r="C33" s="67"/>
      <x:c r="D33" s="66"/>
      <x:c r="E33" s="66"/>
      <x:c r="F33" s="68"/>
      <x:c r="G33" s="68"/>
      <x:c r="H33" s="68"/>
      <x:c r="I33" s="68"/>
      <x:c r="J33" s="68"/>
      <x:c r="K33" s="68"/>
      <x:c r="L33" s="66"/>
      <x:c r="M33" s="70" t="str">
        <x:f>IF(B33="","待填写","已填写")</x:f>
        <x:v>待填写</x:v>
      </x:c>
    </x:row>
    <x:row r="34">
      <x:c r="A34" s="66"/>
      <x:c r="B34" s="66"/>
      <x:c r="C34" s="67"/>
      <x:c r="D34" s="66"/>
      <x:c r="E34" s="66"/>
      <x:c r="F34" s="68"/>
      <x:c r="G34" s="68"/>
      <x:c r="H34" s="68"/>
      <x:c r="I34" s="68"/>
      <x:c r="J34" s="68"/>
      <x:c r="K34" s="68"/>
      <x:c r="L34" s="66"/>
      <x:c r="M34" s="70" t="str">
        <x:f>IF(B34="","待填写","已填写")</x:f>
        <x:v>待填写</x:v>
      </x:c>
    </x:row>
    <x:row r="35">
      <x:c r="A35" s="66"/>
      <x:c r="B35" s="66"/>
      <x:c r="C35" s="67"/>
      <x:c r="D35" s="66"/>
      <x:c r="E35" s="66"/>
      <x:c r="F35" s="68"/>
      <x:c r="G35" s="68"/>
      <x:c r="H35" s="68"/>
      <x:c r="I35" s="68"/>
      <x:c r="J35" s="68"/>
      <x:c r="K35" s="68"/>
      <x:c r="L35" s="66"/>
      <x:c r="M35" s="70" t="str">
        <x:f>IF(B35="","待填写","已填写")</x:f>
        <x:v>待填写</x:v>
      </x:c>
    </x:row>
    <x:row r="36">
      <x:c r="A36" s="66"/>
      <x:c r="B36" s="66"/>
      <x:c r="C36" s="67"/>
      <x:c r="D36" s="66"/>
      <x:c r="E36" s="66"/>
      <x:c r="F36" s="68"/>
      <x:c r="G36" s="68"/>
      <x:c r="H36" s="68"/>
      <x:c r="I36" s="68"/>
      <x:c r="J36" s="68"/>
      <x:c r="K36" s="68"/>
      <x:c r="L36" s="66"/>
      <x:c r="M36" s="70" t="str">
        <x:f>IF(B36="","待填写","已填写")</x:f>
        <x:v>待填写</x:v>
      </x:c>
    </x:row>
    <x:row r="37">
      <x:c r="A37" s="66"/>
      <x:c r="B37" s="66"/>
      <x:c r="C37" s="67"/>
      <x:c r="D37" s="66"/>
      <x:c r="E37" s="66"/>
      <x:c r="F37" s="68"/>
      <x:c r="G37" s="68"/>
      <x:c r="H37" s="68"/>
      <x:c r="I37" s="68"/>
      <x:c r="J37" s="68"/>
      <x:c r="K37" s="68"/>
      <x:c r="L37" s="66"/>
      <x:c r="M37" s="70" t="str">
        <x:f>IF(B37="","待填写","已填写")</x:f>
        <x:v>待填写</x:v>
      </x:c>
    </x:row>
    <x:row r="38">
      <x:c r="A38" s="66"/>
      <x:c r="B38" s="66"/>
      <x:c r="C38" s="67"/>
      <x:c r="D38" s="66"/>
      <x:c r="E38" s="66"/>
      <x:c r="F38" s="68"/>
      <x:c r="G38" s="68"/>
      <x:c r="H38" s="68"/>
      <x:c r="I38" s="68"/>
      <x:c r="J38" s="68"/>
      <x:c r="K38" s="68"/>
      <x:c r="L38" s="66"/>
      <x:c r="M38" s="70" t="str">
        <x:f>IF(B38="","待填写","已填写")</x:f>
        <x:v>待填写</x:v>
      </x:c>
    </x:row>
    <x:row r="39">
      <x:c r="A39" s="66"/>
      <x:c r="B39" s="66"/>
      <x:c r="C39" s="67"/>
      <x:c r="D39" s="66"/>
      <x:c r="E39" s="66"/>
      <x:c r="F39" s="68"/>
      <x:c r="G39" s="68"/>
      <x:c r="H39" s="68"/>
      <x:c r="I39" s="68"/>
      <x:c r="J39" s="68"/>
      <x:c r="K39" s="68"/>
      <x:c r="L39" s="66"/>
      <x:c r="M39" s="70" t="str">
        <x:f>IF(B39="","待填写","已填写")</x:f>
        <x:v>待填写</x:v>
      </x:c>
    </x:row>
    <x:row r="40">
      <x:c r="A40" s="66"/>
      <x:c r="B40" s="66"/>
      <x:c r="C40" s="67"/>
      <x:c r="D40" s="66"/>
      <x:c r="E40" s="66"/>
      <x:c r="F40" s="68"/>
      <x:c r="G40" s="68"/>
      <x:c r="H40" s="68"/>
      <x:c r="I40" s="68"/>
      <x:c r="J40" s="68"/>
      <x:c r="K40" s="68"/>
      <x:c r="L40" s="66"/>
      <x:c r="M40" s="70" t="str">
        <x:f>IF(B40="","待填写","已填写")</x:f>
        <x:v>待填写</x:v>
      </x:c>
    </x:row>
    <x:row r="41">
      <x:c r="A41" s="66"/>
      <x:c r="B41" s="66"/>
      <x:c r="C41" s="67"/>
      <x:c r="D41" s="66"/>
      <x:c r="E41" s="66"/>
      <x:c r="F41" s="68"/>
      <x:c r="G41" s="68"/>
      <x:c r="H41" s="68"/>
      <x:c r="I41" s="68"/>
      <x:c r="J41" s="68"/>
      <x:c r="K41" s="68"/>
      <x:c r="L41" s="66"/>
      <x:c r="M41" s="70" t="str">
        <x:f>IF(B41="","待填写","已填写")</x:f>
        <x:v>待填写</x:v>
      </x:c>
    </x:row>
    <x:row r="42">
      <x:c r="A42" s="66"/>
      <x:c r="B42" s="66"/>
      <x:c r="C42" s="67"/>
      <x:c r="D42" s="66"/>
      <x:c r="E42" s="66"/>
      <x:c r="F42" s="68"/>
      <x:c r="G42" s="68"/>
      <x:c r="H42" s="68"/>
      <x:c r="I42" s="68"/>
      <x:c r="J42" s="68"/>
      <x:c r="K42" s="68"/>
      <x:c r="L42" s="66"/>
      <x:c r="M42" s="70" t="str">
        <x:f>IF(B42="","待填写","已填写")</x:f>
        <x:v>待填写</x:v>
      </x:c>
    </x:row>
    <x:row r="43">
      <x:c r="A43" s="66"/>
      <x:c r="B43" s="66"/>
      <x:c r="C43" s="67"/>
      <x:c r="D43" s="66"/>
      <x:c r="E43" s="66"/>
      <x:c r="F43" s="68"/>
      <x:c r="G43" s="68"/>
      <x:c r="H43" s="68"/>
      <x:c r="I43" s="68"/>
      <x:c r="J43" s="68"/>
      <x:c r="K43" s="68"/>
      <x:c r="L43" s="66"/>
      <x:c r="M43" s="70" t="str">
        <x:f>IF(B43="","待填写","已填写")</x:f>
        <x:v>待填写</x:v>
      </x:c>
    </x:row>
    <x:row r="44">
      <x:c r="A44" s="66"/>
      <x:c r="B44" s="66"/>
      <x:c r="C44" s="67"/>
      <x:c r="D44" s="66"/>
      <x:c r="E44" s="66"/>
      <x:c r="F44" s="68"/>
      <x:c r="G44" s="68"/>
      <x:c r="H44" s="68"/>
      <x:c r="I44" s="68"/>
      <x:c r="J44" s="68"/>
      <x:c r="K44" s="68"/>
      <x:c r="L44" s="66"/>
      <x:c r="M44" s="70" t="str">
        <x:f>IF(B44="","待填写","已填写")</x:f>
        <x:v>待填写</x:v>
      </x:c>
    </x:row>
    <x:row r="45">
      <x:c r="A45" s="66"/>
      <x:c r="B45" s="66"/>
      <x:c r="C45" s="67"/>
      <x:c r="D45" s="66"/>
      <x:c r="E45" s="66"/>
      <x:c r="F45" s="68"/>
      <x:c r="G45" s="68"/>
      <x:c r="H45" s="68"/>
      <x:c r="I45" s="68"/>
      <x:c r="J45" s="68"/>
      <x:c r="K45" s="68"/>
      <x:c r="L45" s="66"/>
      <x:c r="M45" s="70" t="str">
        <x:f>IF(B45="","待填写","已填写")</x:f>
        <x:v>待填写</x:v>
      </x:c>
    </x:row>
    <x:row r="46">
      <x:c r="A46" s="66"/>
      <x:c r="B46" s="66"/>
      <x:c r="C46" s="67"/>
      <x:c r="D46" s="66"/>
      <x:c r="E46" s="66"/>
      <x:c r="F46" s="68"/>
      <x:c r="G46" s="68"/>
      <x:c r="H46" s="68"/>
      <x:c r="I46" s="68"/>
      <x:c r="J46" s="68"/>
      <x:c r="K46" s="68"/>
      <x:c r="L46" s="66"/>
      <x:c r="M46" s="70" t="str">
        <x:f>IF(B46="","待填写","已填写")</x:f>
        <x:v>待填写</x:v>
      </x:c>
    </x:row>
    <x:row r="47">
      <x:c r="A47" s="66"/>
      <x:c r="B47" s="66"/>
      <x:c r="C47" s="67"/>
      <x:c r="D47" s="66"/>
      <x:c r="E47" s="66"/>
      <x:c r="F47" s="68"/>
      <x:c r="G47" s="68"/>
      <x:c r="H47" s="68"/>
      <x:c r="I47" s="68"/>
      <x:c r="J47" s="68"/>
      <x:c r="K47" s="68"/>
      <x:c r="L47" s="66"/>
      <x:c r="M47" s="70" t="str">
        <x:f>IF(B47="","待填写","已填写")</x:f>
        <x:v>待填写</x:v>
      </x:c>
    </x:row>
    <x:row r="48">
      <x:c r="A48" s="66"/>
      <x:c r="B48" s="66"/>
      <x:c r="C48" s="67"/>
      <x:c r="D48" s="66"/>
      <x:c r="E48" s="66"/>
      <x:c r="F48" s="68"/>
      <x:c r="G48" s="68"/>
      <x:c r="H48" s="68"/>
      <x:c r="I48" s="68"/>
      <x:c r="J48" s="68"/>
      <x:c r="K48" s="68"/>
      <x:c r="L48" s="66"/>
      <x:c r="M48" s="70" t="str">
        <x:f>IF(B48="","待填写","已填写")</x:f>
        <x:v>待填写</x:v>
      </x:c>
    </x:row>
    <x:row r="49">
      <x:c r="A49" s="66"/>
      <x:c r="B49" s="66"/>
      <x:c r="C49" s="67"/>
      <x:c r="D49" s="66"/>
      <x:c r="E49" s="66"/>
      <x:c r="F49" s="68"/>
      <x:c r="G49" s="68"/>
      <x:c r="H49" s="68"/>
      <x:c r="I49" s="68"/>
      <x:c r="J49" s="68"/>
      <x:c r="K49" s="68"/>
      <x:c r="L49" s="66"/>
      <x:c r="M49" s="70" t="str">
        <x:f>IF(B49="","待填写","已填写")</x:f>
        <x:v>待填写</x:v>
      </x:c>
    </x:row>
    <x:row r="50">
      <x:c r="A50" s="66"/>
      <x:c r="B50" s="66"/>
      <x:c r="C50" s="67"/>
      <x:c r="D50" s="66"/>
      <x:c r="E50" s="66"/>
      <x:c r="F50" s="68"/>
      <x:c r="G50" s="68"/>
      <x:c r="H50" s="68"/>
      <x:c r="I50" s="68"/>
      <x:c r="J50" s="68"/>
      <x:c r="K50" s="68"/>
      <x:c r="L50" s="66"/>
      <x:c r="M50" s="70" t="str">
        <x:f>IF(B50="","待填写","已填写")</x:f>
        <x:v>待填写</x:v>
      </x:c>
    </x:row>
    <x:row r="51">
      <x:c r="A51" s="66"/>
      <x:c r="B51" s="66"/>
      <x:c r="C51" s="67"/>
      <x:c r="D51" s="66"/>
      <x:c r="E51" s="66"/>
      <x:c r="F51" s="68"/>
      <x:c r="G51" s="68"/>
      <x:c r="H51" s="68"/>
      <x:c r="I51" s="68"/>
      <x:c r="J51" s="68"/>
      <x:c r="K51" s="68"/>
      <x:c r="L51" s="66"/>
      <x:c r="M51" s="70" t="str">
        <x:f>IF(B51="","待填写","已填写")</x:f>
        <x:v>待填写</x:v>
      </x:c>
    </x:row>
    <x:row r="52">
      <x:c r="A52" s="66"/>
      <x:c r="B52" s="66"/>
      <x:c r="C52" s="67"/>
      <x:c r="D52" s="66"/>
      <x:c r="E52" s="66"/>
      <x:c r="F52" s="68"/>
      <x:c r="G52" s="68"/>
      <x:c r="H52" s="68"/>
      <x:c r="I52" s="68"/>
      <x:c r="J52" s="68"/>
      <x:c r="K52" s="68"/>
      <x:c r="L52" s="66"/>
      <x:c r="M52" s="70" t="str">
        <x:f>IF(B52="","待填写","已填写")</x:f>
        <x:v>待填写</x:v>
      </x:c>
    </x:row>
    <x:row r="53">
      <x:c r="A53" s="66"/>
      <x:c r="B53" s="66"/>
      <x:c r="C53" s="67"/>
      <x:c r="D53" s="66"/>
      <x:c r="E53" s="66"/>
      <x:c r="F53" s="68"/>
      <x:c r="G53" s="68"/>
      <x:c r="H53" s="68"/>
      <x:c r="I53" s="68"/>
      <x:c r="J53" s="68"/>
      <x:c r="K53" s="68"/>
      <x:c r="L53" s="66"/>
      <x:c r="M53" s="70" t="str">
        <x:f>IF(B53="","待填写","已填写")</x:f>
        <x:v>待填写</x:v>
      </x:c>
    </x:row>
    <x:row r="54">
      <x:c r="A54" s="66"/>
      <x:c r="B54" s="66"/>
      <x:c r="C54" s="67"/>
      <x:c r="D54" s="66"/>
      <x:c r="E54" s="66"/>
      <x:c r="F54" s="68"/>
      <x:c r="G54" s="68"/>
      <x:c r="H54" s="68"/>
      <x:c r="I54" s="68"/>
      <x:c r="J54" s="68"/>
      <x:c r="K54" s="68"/>
      <x:c r="L54" s="66"/>
      <x:c r="M54" s="70" t="str">
        <x:f>IF(B54="","待填写","已填写")</x:f>
        <x:v>待填写</x:v>
      </x:c>
    </x:row>
    <x:row r="55">
      <x:c r="A55" s="66"/>
      <x:c r="B55" s="66"/>
      <x:c r="C55" s="67"/>
      <x:c r="D55" s="66"/>
      <x:c r="E55" s="66"/>
      <x:c r="F55" s="68"/>
      <x:c r="G55" s="68"/>
      <x:c r="H55" s="68"/>
      <x:c r="I55" s="68"/>
      <x:c r="J55" s="68"/>
      <x:c r="K55" s="68"/>
      <x:c r="L55" s="66"/>
      <x:c r="M55" s="70" t="str">
        <x:f>IF(B55="","待填写","已填写")</x:f>
        <x:v>待填写</x:v>
      </x:c>
    </x:row>
    <x:row r="56">
      <x:c r="A56" s="66"/>
      <x:c r="B56" s="66"/>
      <x:c r="C56" s="67"/>
      <x:c r="D56" s="66"/>
      <x:c r="E56" s="66"/>
      <x:c r="F56" s="68"/>
      <x:c r="G56" s="68"/>
      <x:c r="H56" s="68"/>
      <x:c r="I56" s="68"/>
      <x:c r="J56" s="68"/>
      <x:c r="K56" s="68"/>
      <x:c r="L56" s="66"/>
      <x:c r="M56" s="70" t="str">
        <x:f>IF(B56="","待填写","已填写")</x:f>
        <x:v>待填写</x:v>
      </x:c>
    </x:row>
    <x:row r="57">
      <x:c r="A57" s="66"/>
      <x:c r="B57" s="66"/>
      <x:c r="C57" s="67"/>
      <x:c r="D57" s="66"/>
      <x:c r="E57" s="66"/>
      <x:c r="F57" s="68"/>
      <x:c r="G57" s="68"/>
      <x:c r="H57" s="68"/>
      <x:c r="I57" s="68"/>
      <x:c r="J57" s="68"/>
      <x:c r="K57" s="68"/>
      <x:c r="L57" s="66"/>
      <x:c r="M57" s="70" t="str">
        <x:f>IF(B57="","待填写","已填写")</x:f>
        <x:v>待填写</x:v>
      </x:c>
    </x:row>
    <x:row r="58">
      <x:c r="A58" s="66"/>
      <x:c r="B58" s="66"/>
      <x:c r="C58" s="67"/>
      <x:c r="D58" s="66"/>
      <x:c r="E58" s="66"/>
      <x:c r="F58" s="68"/>
      <x:c r="G58" s="68"/>
      <x:c r="H58" s="68"/>
      <x:c r="I58" s="68"/>
      <x:c r="J58" s="68"/>
      <x:c r="K58" s="68"/>
      <x:c r="L58" s="66"/>
      <x:c r="M58" s="70" t="str">
        <x:f>IF(B58="","待填写","已填写")</x:f>
        <x:v>待填写</x:v>
      </x:c>
    </x:row>
    <x:row r="59">
      <x:c r="A59" s="66"/>
      <x:c r="B59" s="66"/>
      <x:c r="C59" s="67"/>
      <x:c r="D59" s="66"/>
      <x:c r="E59" s="66"/>
      <x:c r="F59" s="68"/>
      <x:c r="G59" s="68"/>
      <x:c r="H59" s="68"/>
      <x:c r="I59" s="68"/>
      <x:c r="J59" s="68"/>
      <x:c r="K59" s="68"/>
      <x:c r="L59" s="66"/>
      <x:c r="M59" s="70" t="str">
        <x:f>IF(B59="","待填写","已填写")</x:f>
        <x:v>待填写</x:v>
      </x:c>
    </x:row>
    <x:row r="60">
      <x:c r="A60" s="66"/>
      <x:c r="B60" s="66"/>
      <x:c r="C60" s="67"/>
      <x:c r="D60" s="66"/>
      <x:c r="E60" s="66"/>
      <x:c r="F60" s="68"/>
      <x:c r="G60" s="68"/>
      <x:c r="H60" s="68"/>
      <x:c r="I60" s="68"/>
      <x:c r="J60" s="68"/>
      <x:c r="K60" s="68"/>
      <x:c r="L60" s="66"/>
      <x:c r="M60" s="70" t="str">
        <x:f>IF(B60="","待填写","已填写")</x:f>
        <x:v>待填写</x:v>
      </x:c>
    </x:row>
    <x:row r="61">
      <x:c r="A61" s="66"/>
      <x:c r="B61" s="66"/>
      <x:c r="C61" s="67"/>
      <x:c r="D61" s="66"/>
      <x:c r="E61" s="66"/>
      <x:c r="F61" s="68"/>
      <x:c r="G61" s="68"/>
      <x:c r="H61" s="68"/>
      <x:c r="I61" s="68"/>
      <x:c r="J61" s="68"/>
      <x:c r="K61" s="68"/>
      <x:c r="L61" s="66"/>
      <x:c r="M61" s="70" t="str">
        <x:f>IF(B61="","待填写","已填写")</x:f>
        <x:v>待填写</x:v>
      </x:c>
    </x:row>
    <x:row r="62">
      <x:c r="A62" s="66"/>
      <x:c r="B62" s="66"/>
      <x:c r="C62" s="67"/>
      <x:c r="D62" s="66"/>
      <x:c r="E62" s="66"/>
      <x:c r="F62" s="68"/>
      <x:c r="G62" s="68"/>
      <x:c r="H62" s="68"/>
      <x:c r="I62" s="68"/>
      <x:c r="J62" s="68"/>
      <x:c r="K62" s="68"/>
      <x:c r="L62" s="66"/>
      <x:c r="M62" s="70" t="str">
        <x:f>IF(B62="","待填写","已填写")</x:f>
        <x:v>待填写</x:v>
      </x:c>
    </x:row>
    <x:row r="63">
      <x:c r="A63" s="66"/>
      <x:c r="B63" s="66"/>
      <x:c r="C63" s="67"/>
      <x:c r="D63" s="66"/>
      <x:c r="E63" s="66"/>
      <x:c r="F63" s="68"/>
      <x:c r="G63" s="68"/>
      <x:c r="H63" s="68"/>
      <x:c r="I63" s="68"/>
      <x:c r="J63" s="68"/>
      <x:c r="K63" s="68"/>
      <x:c r="L63" s="66"/>
      <x:c r="M63" s="70" t="str">
        <x:f>IF(B63="","待填写","已填写")</x:f>
        <x:v>待填写</x:v>
      </x:c>
    </x:row>
    <x:row r="64">
      <x:c r="A64" s="66"/>
      <x:c r="B64" s="66"/>
      <x:c r="C64" s="67"/>
      <x:c r="D64" s="66"/>
      <x:c r="E64" s="66"/>
      <x:c r="F64" s="68"/>
      <x:c r="G64" s="68"/>
      <x:c r="H64" s="68"/>
      <x:c r="I64" s="68"/>
      <x:c r="J64" s="68"/>
      <x:c r="K64" s="68"/>
      <x:c r="L64" s="66"/>
      <x:c r="M64" s="70" t="str">
        <x:f>IF(B64="","待填写","已填写")</x:f>
        <x:v>待填写</x:v>
      </x:c>
    </x:row>
    <x:row r="65">
      <x:c r="A65" s="66"/>
      <x:c r="B65" s="66"/>
      <x:c r="C65" s="67"/>
      <x:c r="D65" s="66"/>
      <x:c r="E65" s="66"/>
      <x:c r="F65" s="68"/>
      <x:c r="G65" s="68"/>
      <x:c r="H65" s="68"/>
      <x:c r="I65" s="68"/>
      <x:c r="J65" s="68"/>
      <x:c r="K65" s="68"/>
      <x:c r="L65" s="66"/>
      <x:c r="M65" s="70" t="str">
        <x:f>IF(B65="","待填写","已填写")</x:f>
        <x:v>待填写</x:v>
      </x:c>
    </x:row>
    <x:row r="66">
      <x:c r="A66" s="66"/>
      <x:c r="B66" s="66"/>
      <x:c r="C66" s="67"/>
      <x:c r="D66" s="66"/>
      <x:c r="E66" s="66"/>
      <x:c r="F66" s="68"/>
      <x:c r="G66" s="68"/>
      <x:c r="H66" s="68"/>
      <x:c r="I66" s="68"/>
      <x:c r="J66" s="68"/>
      <x:c r="K66" s="68"/>
      <x:c r="L66" s="66"/>
      <x:c r="M66" s="70" t="str">
        <x:f>IF(B66="","待填写","已填写")</x:f>
        <x:v>待填写</x:v>
      </x:c>
    </x:row>
    <x:row r="67">
      <x:c r="A67" s="66"/>
      <x:c r="B67" s="66"/>
      <x:c r="C67" s="67"/>
      <x:c r="D67" s="66"/>
      <x:c r="E67" s="66"/>
      <x:c r="F67" s="68"/>
      <x:c r="G67" s="68"/>
      <x:c r="H67" s="68"/>
      <x:c r="I67" s="68"/>
      <x:c r="J67" s="68"/>
      <x:c r="K67" s="68"/>
      <x:c r="L67" s="66"/>
      <x:c r="M67" s="70" t="str">
        <x:f>IF(B67="","待填写","已填写")</x:f>
        <x:v>待填写</x:v>
      </x:c>
    </x:row>
    <x:row r="68">
      <x:c r="A68" s="66"/>
      <x:c r="B68" s="66"/>
      <x:c r="C68" s="67"/>
      <x:c r="D68" s="66"/>
      <x:c r="E68" s="66"/>
      <x:c r="F68" s="68"/>
      <x:c r="G68" s="68"/>
      <x:c r="H68" s="68"/>
      <x:c r="I68" s="68"/>
      <x:c r="J68" s="68"/>
      <x:c r="K68" s="68"/>
      <x:c r="L68" s="66"/>
      <x:c r="M68" s="70" t="str">
        <x:f>IF(B68="","待填写","已填写")</x:f>
        <x:v>待填写</x:v>
      </x:c>
    </x:row>
    <x:row r="69">
      <x:c r="A69" s="66"/>
      <x:c r="B69" s="66"/>
      <x:c r="C69" s="67"/>
      <x:c r="D69" s="66"/>
      <x:c r="E69" s="66"/>
      <x:c r="F69" s="68"/>
      <x:c r="G69" s="68"/>
      <x:c r="H69" s="68"/>
      <x:c r="I69" s="68"/>
      <x:c r="J69" s="68"/>
      <x:c r="K69" s="68"/>
      <x:c r="L69" s="66"/>
      <x:c r="M69" s="70" t="str">
        <x:f>IF(B69="","待填写","已填写")</x:f>
        <x:v>待填写</x:v>
      </x:c>
    </x:row>
    <x:row r="70">
      <x:c r="A70" s="66"/>
      <x:c r="B70" s="66"/>
      <x:c r="C70" s="67"/>
      <x:c r="D70" s="66"/>
      <x:c r="E70" s="66"/>
      <x:c r="F70" s="68"/>
      <x:c r="G70" s="68"/>
      <x:c r="H70" s="68"/>
      <x:c r="I70" s="68"/>
      <x:c r="J70" s="68"/>
      <x:c r="K70" s="68"/>
      <x:c r="L70" s="66"/>
      <x:c r="M70" s="70" t="str">
        <x:f>IF(B70="","待填写","已填写")</x:f>
        <x:v>待填写</x:v>
      </x:c>
    </x:row>
    <x:row r="71">
      <x:c r="A71" s="66"/>
      <x:c r="B71" s="66"/>
      <x:c r="C71" s="67"/>
      <x:c r="D71" s="66"/>
      <x:c r="E71" s="66"/>
      <x:c r="F71" s="68"/>
      <x:c r="G71" s="68"/>
      <x:c r="H71" s="68"/>
      <x:c r="I71" s="68"/>
      <x:c r="J71" s="68"/>
      <x:c r="K71" s="68"/>
      <x:c r="L71" s="66"/>
      <x:c r="M71" s="70" t="str">
        <x:f>IF(B71="","待填写","已填写")</x:f>
        <x:v>待填写</x:v>
      </x:c>
    </x:row>
    <x:row r="72">
      <x:c r="A72" s="66"/>
      <x:c r="B72" s="66"/>
      <x:c r="C72" s="67"/>
      <x:c r="D72" s="66"/>
      <x:c r="E72" s="66"/>
      <x:c r="F72" s="68"/>
      <x:c r="G72" s="68"/>
      <x:c r="H72" s="68"/>
      <x:c r="I72" s="68"/>
      <x:c r="J72" s="68"/>
      <x:c r="K72" s="68"/>
      <x:c r="L72" s="66"/>
      <x:c r="M72" s="70" t="str">
        <x:f>IF(B72="","待填写","已填写")</x:f>
        <x:v>待填写</x:v>
      </x:c>
    </x:row>
    <x:row r="73">
      <x:c r="A73" s="66"/>
      <x:c r="B73" s="66"/>
      <x:c r="C73" s="67"/>
      <x:c r="D73" s="66"/>
      <x:c r="E73" s="66"/>
      <x:c r="F73" s="68"/>
      <x:c r="G73" s="68"/>
      <x:c r="H73" s="68"/>
      <x:c r="I73" s="68"/>
      <x:c r="J73" s="68"/>
      <x:c r="K73" s="68"/>
      <x:c r="L73" s="66"/>
      <x:c r="M73" s="70" t="str">
        <x:f>IF(B73="","待填写","已填写")</x:f>
        <x:v>待填写</x:v>
      </x:c>
    </x:row>
    <x:row r="74">
      <x:c r="A74" s="66"/>
      <x:c r="B74" s="66"/>
      <x:c r="C74" s="67"/>
      <x:c r="D74" s="66"/>
      <x:c r="E74" s="66"/>
      <x:c r="F74" s="68"/>
      <x:c r="G74" s="68"/>
      <x:c r="H74" s="68"/>
      <x:c r="I74" s="68"/>
      <x:c r="J74" s="68"/>
      <x:c r="K74" s="68"/>
      <x:c r="L74" s="66"/>
      <x:c r="M74" s="70" t="str">
        <x:f>IF(B74="","待填写","已填写")</x:f>
        <x:v>待填写</x:v>
      </x:c>
    </x:row>
    <x:row r="75">
      <x:c r="A75" s="66"/>
      <x:c r="B75" s="66"/>
      <x:c r="C75" s="67"/>
      <x:c r="D75" s="66"/>
      <x:c r="E75" s="66"/>
      <x:c r="F75" s="68"/>
      <x:c r="G75" s="68"/>
      <x:c r="H75" s="68"/>
      <x:c r="I75" s="68"/>
      <x:c r="J75" s="68"/>
      <x:c r="K75" s="68"/>
      <x:c r="L75" s="66"/>
      <x:c r="M75" s="70" t="str">
        <x:f>IF(B75="","待填写","已填写")</x:f>
        <x:v>待填写</x:v>
      </x:c>
    </x:row>
    <x:row r="76">
      <x:c r="A76" s="66"/>
      <x:c r="B76" s="66"/>
      <x:c r="C76" s="67"/>
      <x:c r="D76" s="66"/>
      <x:c r="E76" s="66"/>
      <x:c r="F76" s="68"/>
      <x:c r="G76" s="68"/>
      <x:c r="H76" s="68"/>
      <x:c r="I76" s="68"/>
      <x:c r="J76" s="68"/>
      <x:c r="K76" s="68"/>
      <x:c r="L76" s="66"/>
      <x:c r="M76" s="70" t="str">
        <x:f>IF(B76="","待填写","已填写")</x:f>
        <x:v>待填写</x:v>
      </x:c>
    </x:row>
    <x:row r="77">
      <x:c r="A77" s="66"/>
      <x:c r="B77" s="66"/>
      <x:c r="C77" s="67"/>
      <x:c r="D77" s="66"/>
      <x:c r="E77" s="66"/>
      <x:c r="F77" s="68"/>
      <x:c r="G77" s="68"/>
      <x:c r="H77" s="68"/>
      <x:c r="I77" s="68"/>
      <x:c r="J77" s="68"/>
      <x:c r="K77" s="68"/>
      <x:c r="L77" s="66"/>
      <x:c r="M77" s="70" t="str">
        <x:f>IF(B77="","待填写","已填写")</x:f>
        <x:v>待填写</x:v>
      </x:c>
    </x:row>
    <x:row r="78">
      <x:c r="A78" s="66"/>
      <x:c r="B78" s="66"/>
      <x:c r="C78" s="67"/>
      <x:c r="D78" s="66"/>
      <x:c r="E78" s="66"/>
      <x:c r="F78" s="68"/>
      <x:c r="G78" s="68"/>
      <x:c r="H78" s="68"/>
      <x:c r="I78" s="68"/>
      <x:c r="J78" s="68"/>
      <x:c r="K78" s="68"/>
      <x:c r="L78" s="66"/>
      <x:c r="M78" s="70" t="str">
        <x:f>IF(B78="","待填写","已填写")</x:f>
        <x:v>待填写</x:v>
      </x:c>
    </x:row>
    <x:row r="79">
      <x:c r="A79" s="66"/>
      <x:c r="B79" s="66"/>
      <x:c r="C79" s="67"/>
      <x:c r="D79" s="66"/>
      <x:c r="E79" s="66"/>
      <x:c r="F79" s="68"/>
      <x:c r="G79" s="68"/>
      <x:c r="H79" s="68"/>
      <x:c r="I79" s="68"/>
      <x:c r="J79" s="68"/>
      <x:c r="K79" s="68"/>
      <x:c r="L79" s="66"/>
      <x:c r="M79" s="70" t="str">
        <x:f>IF(B79="","待填写","已填写")</x:f>
        <x:v>待填写</x:v>
      </x:c>
    </x:row>
    <x:row r="80">
      <x:c r="A80" s="66"/>
      <x:c r="B80" s="66"/>
      <x:c r="C80" s="67"/>
      <x:c r="D80" s="66"/>
      <x:c r="E80" s="66"/>
      <x:c r="F80" s="68"/>
      <x:c r="G80" s="68"/>
      <x:c r="H80" s="68"/>
      <x:c r="I80" s="68"/>
      <x:c r="J80" s="68"/>
      <x:c r="K80" s="68"/>
      <x:c r="L80" s="66"/>
      <x:c r="M80" s="70" t="str">
        <x:f>IF(B80="","待填写","已填写")</x:f>
        <x:v>待填写</x:v>
      </x:c>
    </x:row>
    <x:row r="81">
      <x:c r="A81" s="66"/>
      <x:c r="B81" s="66"/>
      <x:c r="C81" s="67"/>
      <x:c r="D81" s="66"/>
      <x:c r="E81" s="66"/>
      <x:c r="F81" s="68"/>
      <x:c r="G81" s="68"/>
      <x:c r="H81" s="68"/>
      <x:c r="I81" s="68"/>
      <x:c r="J81" s="68"/>
      <x:c r="K81" s="68"/>
      <x:c r="L81" s="66"/>
      <x:c r="M81" s="70" t="str">
        <x:f>IF(B81="","待填写","已填写")</x:f>
        <x:v>待填写</x:v>
      </x:c>
    </x:row>
    <x:row r="82">
      <x:c r="A82" s="66"/>
      <x:c r="B82" s="66"/>
      <x:c r="C82" s="67"/>
      <x:c r="D82" s="66"/>
      <x:c r="E82" s="66"/>
      <x:c r="F82" s="68"/>
      <x:c r="G82" s="68"/>
      <x:c r="H82" s="68"/>
      <x:c r="I82" s="68"/>
      <x:c r="J82" s="68"/>
      <x:c r="K82" s="68"/>
      <x:c r="L82" s="66"/>
      <x:c r="M82" s="70" t="str">
        <x:f>IF(B82="","待填写","已填写")</x:f>
        <x:v>待填写</x:v>
      </x:c>
    </x:row>
    <x:row r="83">
      <x:c r="A83" s="66"/>
      <x:c r="B83" s="66"/>
      <x:c r="C83" s="67"/>
      <x:c r="D83" s="66"/>
      <x:c r="E83" s="66"/>
      <x:c r="F83" s="68"/>
      <x:c r="G83" s="68"/>
      <x:c r="H83" s="68"/>
      <x:c r="I83" s="68"/>
      <x:c r="J83" s="68"/>
      <x:c r="K83" s="68"/>
      <x:c r="L83" s="66"/>
      <x:c r="M83" s="70" t="str">
        <x:f>IF(B83="","待填写","已填写")</x:f>
        <x:v>待填写</x:v>
      </x:c>
    </x:row>
    <x:row r="84">
      <x:c r="A84" s="66"/>
      <x:c r="B84" s="66"/>
      <x:c r="C84" s="67"/>
      <x:c r="D84" s="66"/>
      <x:c r="E84" s="66"/>
      <x:c r="F84" s="68"/>
      <x:c r="G84" s="68"/>
      <x:c r="H84" s="68"/>
      <x:c r="I84" s="68"/>
      <x:c r="J84" s="68"/>
      <x:c r="K84" s="68"/>
      <x:c r="L84" s="66"/>
      <x:c r="M84" s="70" t="str">
        <x:f>IF(B84="","待填写","已填写")</x:f>
        <x:v>待填写</x:v>
      </x:c>
    </x:row>
    <x:row r="85">
      <x:c r="A85" s="66"/>
      <x:c r="B85" s="66"/>
      <x:c r="C85" s="67"/>
      <x:c r="D85" s="66"/>
      <x:c r="E85" s="66"/>
      <x:c r="F85" s="68"/>
      <x:c r="G85" s="68"/>
      <x:c r="H85" s="68"/>
      <x:c r="I85" s="68"/>
      <x:c r="J85" s="68"/>
      <x:c r="K85" s="68"/>
      <x:c r="L85" s="66"/>
      <x:c r="M85" s="70" t="str">
        <x:f>IF(B85="","待填写","已填写")</x:f>
        <x:v>待填写</x:v>
      </x:c>
    </x:row>
    <x:row r="86">
      <x:c r="A86" s="66"/>
      <x:c r="B86" s="66"/>
      <x:c r="C86" s="67"/>
      <x:c r="D86" s="66"/>
      <x:c r="E86" s="66"/>
      <x:c r="F86" s="68"/>
      <x:c r="G86" s="68"/>
      <x:c r="H86" s="68"/>
      <x:c r="I86" s="68"/>
      <x:c r="J86" s="68"/>
      <x:c r="K86" s="68"/>
      <x:c r="L86" s="66"/>
      <x:c r="M86" s="70" t="str">
        <x:f>IF(B86="","待填写","已填写")</x:f>
        <x:v>待填写</x:v>
      </x:c>
    </x:row>
    <x:row r="87">
      <x:c r="A87" s="66"/>
      <x:c r="B87" s="66"/>
      <x:c r="C87" s="67"/>
      <x:c r="D87" s="66"/>
      <x:c r="E87" s="66"/>
      <x:c r="F87" s="68"/>
      <x:c r="G87" s="68"/>
      <x:c r="H87" s="68"/>
      <x:c r="I87" s="68"/>
      <x:c r="J87" s="68"/>
      <x:c r="K87" s="68"/>
      <x:c r="L87" s="66"/>
      <x:c r="M87" s="70" t="str">
        <x:f>IF(B87="","待填写","已填写")</x:f>
        <x:v>待填写</x:v>
      </x:c>
    </x:row>
    <x:row r="88">
      <x:c r="A88" s="66"/>
      <x:c r="B88" s="66"/>
      <x:c r="C88" s="67"/>
      <x:c r="D88" s="66"/>
      <x:c r="E88" s="66"/>
      <x:c r="F88" s="68"/>
      <x:c r="G88" s="68"/>
      <x:c r="H88" s="68"/>
      <x:c r="I88" s="68"/>
      <x:c r="J88" s="68"/>
      <x:c r="K88" s="68"/>
      <x:c r="L88" s="66"/>
      <x:c r="M88" s="70" t="str">
        <x:f>IF(B88="","待填写","已填写")</x:f>
        <x:v>待填写</x:v>
      </x:c>
    </x:row>
    <x:row r="89">
      <x:c r="A89" s="66"/>
      <x:c r="B89" s="66"/>
      <x:c r="C89" s="67"/>
      <x:c r="D89" s="66"/>
      <x:c r="E89" s="66"/>
      <x:c r="F89" s="68"/>
      <x:c r="G89" s="68"/>
      <x:c r="H89" s="68"/>
      <x:c r="I89" s="68"/>
      <x:c r="J89" s="68"/>
      <x:c r="K89" s="68"/>
      <x:c r="L89" s="66"/>
      <x:c r="M89" s="70" t="str">
        <x:f>IF(B89="","待填写","已填写")</x:f>
        <x:v>待填写</x:v>
      </x:c>
    </x:row>
    <x:row r="90">
      <x:c r="A90" s="66"/>
      <x:c r="B90" s="66"/>
      <x:c r="C90" s="67"/>
      <x:c r="D90" s="66"/>
      <x:c r="E90" s="66"/>
      <x:c r="F90" s="68"/>
      <x:c r="G90" s="68"/>
      <x:c r="H90" s="68"/>
      <x:c r="I90" s="68"/>
      <x:c r="J90" s="68"/>
      <x:c r="K90" s="68"/>
      <x:c r="L90" s="66"/>
      <x:c r="M90" s="70" t="str">
        <x:f>IF(B90="","待填写","已填写")</x:f>
        <x:v>待填写</x:v>
      </x:c>
    </x:row>
    <x:row r="91">
      <x:c r="A91" s="66"/>
      <x:c r="B91" s="66"/>
      <x:c r="C91" s="67"/>
      <x:c r="D91" s="66"/>
      <x:c r="E91" s="66"/>
      <x:c r="F91" s="68"/>
      <x:c r="G91" s="68"/>
      <x:c r="H91" s="68"/>
      <x:c r="I91" s="68"/>
      <x:c r="J91" s="68"/>
      <x:c r="K91" s="68"/>
      <x:c r="L91" s="66"/>
      <x:c r="M91" s="70" t="str">
        <x:f>IF(B91="","待填写","已填写")</x:f>
        <x:v>待填写</x:v>
      </x:c>
    </x:row>
    <x:row r="92">
      <x:c r="A92" s="66"/>
      <x:c r="B92" s="66"/>
      <x:c r="C92" s="67"/>
      <x:c r="D92" s="66"/>
      <x:c r="E92" s="66"/>
      <x:c r="F92" s="68"/>
      <x:c r="G92" s="68"/>
      <x:c r="H92" s="68"/>
      <x:c r="I92" s="68"/>
      <x:c r="J92" s="68"/>
      <x:c r="K92" s="68"/>
      <x:c r="L92" s="66"/>
      <x:c r="M92" s="70" t="str">
        <x:f>IF(B92="","待填写","已填写")</x:f>
        <x:v>待填写</x:v>
      </x:c>
    </x:row>
    <x:row r="93">
      <x:c r="A93" s="66"/>
      <x:c r="B93" s="66"/>
      <x:c r="C93" s="67"/>
      <x:c r="D93" s="66"/>
      <x:c r="E93" s="66"/>
      <x:c r="F93" s="68"/>
      <x:c r="G93" s="68"/>
      <x:c r="H93" s="68"/>
      <x:c r="I93" s="68"/>
      <x:c r="J93" s="68"/>
      <x:c r="K93" s="68"/>
      <x:c r="L93" s="66"/>
      <x:c r="M93" s="70" t="str">
        <x:f>IF(B93="","待填写","已填写")</x:f>
        <x:v>待填写</x:v>
      </x:c>
    </x:row>
    <x:row r="94">
      <x:c r="A94" s="66"/>
      <x:c r="B94" s="66"/>
      <x:c r="C94" s="67"/>
      <x:c r="D94" s="66"/>
      <x:c r="E94" s="66"/>
      <x:c r="F94" s="68"/>
      <x:c r="G94" s="68"/>
      <x:c r="H94" s="68"/>
      <x:c r="I94" s="68"/>
      <x:c r="J94" s="68"/>
      <x:c r="K94" s="68"/>
      <x:c r="L94" s="66"/>
      <x:c r="M94" s="70" t="str">
        <x:f>IF(B94="","待填写","已填写")</x:f>
        <x:v>待填写</x:v>
      </x:c>
    </x:row>
    <x:row r="95">
      <x:c r="A95" s="66"/>
      <x:c r="B95" s="66"/>
      <x:c r="C95" s="67"/>
      <x:c r="D95" s="66"/>
      <x:c r="E95" s="66"/>
      <x:c r="F95" s="68"/>
      <x:c r="G95" s="68"/>
      <x:c r="H95" s="68"/>
      <x:c r="I95" s="68"/>
      <x:c r="J95" s="68"/>
      <x:c r="K95" s="68"/>
      <x:c r="L95" s="66"/>
      <x:c r="M95" s="70" t="str">
        <x:f>IF(B95="","待填写","已填写")</x:f>
        <x:v>待填写</x:v>
      </x:c>
    </x:row>
    <x:row r="96">
      <x:c r="A96" s="66"/>
      <x:c r="B96" s="66"/>
      <x:c r="C96" s="67"/>
      <x:c r="D96" s="66"/>
      <x:c r="E96" s="66"/>
      <x:c r="F96" s="68"/>
      <x:c r="G96" s="68"/>
      <x:c r="H96" s="68"/>
      <x:c r="I96" s="68"/>
      <x:c r="J96" s="68"/>
      <x:c r="K96" s="68"/>
      <x:c r="L96" s="66"/>
      <x:c r="M96" s="70" t="str">
        <x:f>IF(B96="","待填写","已填写")</x:f>
        <x:v>待填写</x:v>
      </x:c>
    </x:row>
    <x:row r="97">
      <x:c r="A97" s="66"/>
      <x:c r="B97" s="66"/>
      <x:c r="C97" s="67"/>
      <x:c r="D97" s="66"/>
      <x:c r="E97" s="66"/>
      <x:c r="F97" s="68"/>
      <x:c r="G97" s="68"/>
      <x:c r="H97" s="68"/>
      <x:c r="I97" s="68"/>
      <x:c r="J97" s="68"/>
      <x:c r="K97" s="68"/>
      <x:c r="L97" s="66"/>
      <x:c r="M97" s="70" t="str">
        <x:f>IF(B97="","待填写","已填写")</x:f>
        <x:v>待填写</x:v>
      </x:c>
    </x:row>
    <x:row r="98">
      <x:c r="A98" s="66"/>
      <x:c r="B98" s="66"/>
      <x:c r="C98" s="67"/>
      <x:c r="D98" s="66"/>
      <x:c r="E98" s="66"/>
      <x:c r="F98" s="68"/>
      <x:c r="G98" s="68"/>
      <x:c r="H98" s="68"/>
      <x:c r="I98" s="68"/>
      <x:c r="J98" s="68"/>
      <x:c r="K98" s="68"/>
      <x:c r="L98" s="66"/>
      <x:c r="M98" s="70" t="str">
        <x:f>IF(B98="","待填写","已填写")</x:f>
        <x:v>待填写</x:v>
      </x:c>
    </x:row>
    <x:row r="99">
      <x:c r="A99" s="66"/>
      <x:c r="B99" s="66"/>
      <x:c r="C99" s="67"/>
      <x:c r="D99" s="66"/>
      <x:c r="E99" s="66"/>
      <x:c r="F99" s="68"/>
      <x:c r="G99" s="68"/>
      <x:c r="H99" s="68"/>
      <x:c r="I99" s="68"/>
      <x:c r="J99" s="68"/>
      <x:c r="K99" s="68"/>
      <x:c r="L99" s="66"/>
      <x:c r="M99" s="70" t="str">
        <x:f>IF(B99="","待填写","已填写")</x:f>
        <x:v>待填写</x:v>
      </x:c>
    </x:row>
    <x:row r="100">
      <x:c r="A100" s="66"/>
      <x:c r="B100" s="66"/>
      <x:c r="C100" s="67"/>
      <x:c r="D100" s="66"/>
      <x:c r="E100" s="66"/>
      <x:c r="F100" s="68"/>
      <x:c r="G100" s="68"/>
      <x:c r="H100" s="68"/>
      <x:c r="I100" s="68"/>
      <x:c r="J100" s="68"/>
      <x:c r="K100" s="68"/>
      <x:c r="L100" s="66"/>
      <x:c r="M100" s="70" t="str">
        <x:f>IF(B100="","待填写","已填写")</x:f>
        <x:v>待填写</x:v>
      </x:c>
    </x:row>
    <x:row r="101">
      <x:c r="A101" s="66"/>
      <x:c r="B101" s="66"/>
      <x:c r="C101" s="67"/>
      <x:c r="D101" s="66"/>
      <x:c r="E101" s="66"/>
      <x:c r="F101" s="68"/>
      <x:c r="G101" s="68"/>
      <x:c r="H101" s="68"/>
      <x:c r="I101" s="68"/>
      <x:c r="J101" s="68"/>
      <x:c r="K101" s="68"/>
      <x:c r="L101" s="66"/>
      <x:c r="M101" s="70" t="str">
        <x:f>IF(B101="","待填写","已填写")</x:f>
        <x:v>待填写</x:v>
      </x:c>
    </x:row>
    <x:row r="102">
      <x:c r="A102" s="66"/>
      <x:c r="B102" s="66"/>
      <x:c r="C102" s="67"/>
      <x:c r="D102" s="66"/>
      <x:c r="E102" s="66"/>
      <x:c r="F102" s="68"/>
      <x:c r="G102" s="68"/>
      <x:c r="H102" s="68"/>
      <x:c r="I102" s="68"/>
      <x:c r="J102" s="68"/>
      <x:c r="K102" s="68"/>
      <x:c r="L102" s="66"/>
      <x:c r="M102" s="70" t="str">
        <x:f>IF(B102="","待填写","已填写")</x:f>
        <x:v>待填写</x:v>
      </x:c>
    </x:row>
    <x:row r="103">
      <x:c r="A103" s="66"/>
      <x:c r="B103" s="66"/>
      <x:c r="C103" s="67"/>
      <x:c r="D103" s="66"/>
      <x:c r="E103" s="66"/>
      <x:c r="F103" s="68"/>
      <x:c r="G103" s="68"/>
      <x:c r="H103" s="68"/>
      <x:c r="I103" s="68"/>
      <x:c r="J103" s="68"/>
      <x:c r="K103" s="68"/>
      <x:c r="L103" s="66"/>
      <x:c r="M103" s="70" t="str">
        <x:f>IF(B103="","待填写","已填写")</x:f>
        <x:v>待填写</x:v>
      </x:c>
    </x:row>
    <x:row r="104">
      <x:c r="A104" s="66"/>
      <x:c r="B104" s="66"/>
      <x:c r="C104" s="67"/>
      <x:c r="D104" s="66"/>
      <x:c r="E104" s="66"/>
      <x:c r="F104" s="68"/>
      <x:c r="G104" s="68"/>
      <x:c r="H104" s="68"/>
      <x:c r="I104" s="68"/>
      <x:c r="J104" s="68"/>
      <x:c r="K104" s="68"/>
      <x:c r="L104" s="66"/>
      <x:c r="M104" s="70" t="str">
        <x:f>IF(B104="","待填写","已填写")</x:f>
        <x:v>待填写</x:v>
      </x:c>
    </x:row>
    <x:row r="105">
      <x:c r="A105" s="66"/>
      <x:c r="B105" s="66"/>
      <x:c r="C105" s="67"/>
      <x:c r="D105" s="66"/>
      <x:c r="E105" s="66"/>
      <x:c r="F105" s="68"/>
      <x:c r="G105" s="68"/>
      <x:c r="H105" s="68"/>
      <x:c r="I105" s="68"/>
      <x:c r="J105" s="68"/>
      <x:c r="K105" s="68"/>
      <x:c r="L105" s="66"/>
      <x:c r="M105" s="70" t="str">
        <x:f>IF(B105="","待填写","已填写")</x:f>
        <x:v>待填写</x:v>
      </x:c>
    </x:row>
    <x:row r="106">
      <x:c r="A106" s="66"/>
      <x:c r="B106" s="66"/>
      <x:c r="C106" s="67"/>
      <x:c r="D106" s="66"/>
      <x:c r="E106" s="66"/>
      <x:c r="F106" s="68"/>
      <x:c r="G106" s="68"/>
      <x:c r="H106" s="68"/>
      <x:c r="I106" s="68"/>
      <x:c r="J106" s="68"/>
      <x:c r="K106" s="68"/>
      <x:c r="L106" s="66"/>
      <x:c r="M106" s="70" t="str">
        <x:f>IF(B106="","待填写","已填写")</x:f>
        <x:v>待填写</x:v>
      </x:c>
    </x:row>
    <x:row r="107">
      <x:c r="A107" s="66"/>
      <x:c r="B107" s="66"/>
      <x:c r="C107" s="67"/>
      <x:c r="D107" s="66"/>
      <x:c r="E107" s="66"/>
      <x:c r="F107" s="68"/>
      <x:c r="G107" s="68"/>
      <x:c r="H107" s="68"/>
      <x:c r="I107" s="68"/>
      <x:c r="J107" s="68"/>
      <x:c r="K107" s="68"/>
      <x:c r="L107" s="66"/>
      <x:c r="M107" s="70" t="str">
        <x:f>IF(B107="","待填写","已填写")</x:f>
        <x:v>待填写</x:v>
      </x:c>
    </x:row>
    <x:row r="108">
      <x:c r="A108" s="66"/>
      <x:c r="B108" s="66"/>
      <x:c r="C108" s="67"/>
      <x:c r="D108" s="66"/>
      <x:c r="E108" s="66"/>
      <x:c r="F108" s="68"/>
      <x:c r="G108" s="68"/>
      <x:c r="H108" s="68"/>
      <x:c r="I108" s="68"/>
      <x:c r="J108" s="68"/>
      <x:c r="K108" s="68"/>
      <x:c r="L108" s="66"/>
      <x:c r="M108" s="70" t="str">
        <x:f>IF(B108="","待填写","已填写")</x:f>
        <x:v>待填写</x:v>
      </x:c>
    </x:row>
    <x:row r="109">
      <x:c r="A109" s="66"/>
      <x:c r="B109" s="66"/>
      <x:c r="C109" s="67"/>
      <x:c r="D109" s="66"/>
      <x:c r="E109" s="66"/>
      <x:c r="F109" s="68"/>
      <x:c r="G109" s="68"/>
      <x:c r="H109" s="68"/>
      <x:c r="I109" s="68"/>
      <x:c r="J109" s="68"/>
      <x:c r="K109" s="68"/>
      <x:c r="L109" s="66"/>
      <x:c r="M109" s="70" t="str">
        <x:f>IF(B109="","待填写","已填写")</x:f>
        <x:v>待填写</x:v>
      </x:c>
    </x:row>
    <x:row r="110">
      <x:c r="A110" s="66"/>
      <x:c r="B110" s="66"/>
      <x:c r="C110" s="67"/>
      <x:c r="D110" s="66"/>
      <x:c r="E110" s="66"/>
      <x:c r="F110" s="68"/>
      <x:c r="G110" s="68"/>
      <x:c r="H110" s="68"/>
      <x:c r="I110" s="68"/>
      <x:c r="J110" s="68"/>
      <x:c r="K110" s="68"/>
      <x:c r="L110" s="66"/>
      <x:c r="M110" s="70" t="str">
        <x:f>IF(B110="","待填写","已填写")</x:f>
        <x:v>待填写</x:v>
      </x:c>
    </x:row>
  </x:sheetData>
  <x:mergeCells>
    <x:mergeCell ref="A1:N1"/>
    <x:mergeCell ref="A2:N2"/>
  </x:mergeCells>
  <x:conditionalFormatting sqref="M6:M110">
    <x:cfRule type="containsText" dxfId="0" priority="1" operator="containsText" text="待"/>
    <x:cfRule type="containsText" dxfId="1" priority="2" operator="containsText" text="有效"/>
    <x:cfRule type="containsText" dxfId="2" priority="3" operator="containsText" text="无效"/>
  </x:conditionalFormatting>
  <x:dataValidations count="1">
    <x:dataValidation type="list" sqref="B6:B110">
      <x:formula1>"全部店铺,US-旗舰店,US-日用店,TH-主店,新增店铺"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3083ac405748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3" hidden="0" customWidth="1"/>
    <x:col min="4" max="4" width="25" hidden="0" customWidth="1"/>
    <x:col min="5" max="5" width="12" hidden="0" customWidth="1"/>
    <x:col min="6" max="6" width="14" hidden="0" customWidth="1"/>
    <x:col min="7" max="7" width="13" hidden="0" customWidth="1"/>
    <x:col min="8" max="8" width="11" hidden="0" customWidth="1"/>
    <x:col min="9" max="9" width="11" hidden="0" customWidth="1"/>
    <x:col min="10" max="10" width="14" hidden="0" customWidth="1"/>
    <x:col min="11" max="11" width="14" hidden="0" customWidth="1"/>
    <x:col min="12" max="12" width="14" hidden="0" customWidth="1"/>
    <x:col min="13" max="13" width="17" hidden="0" customWidth="1"/>
    <x:col min="14" max="14" width="17" hidden="0" customWidth="1"/>
    <x:col min="15" max="15" width="13" hidden="0" customWidth="1"/>
    <x:col min="16" max="16" width="34" hidden="0" customWidth="1"/>
    <x:col min="17" max="17" width="13" hidden="0" customWidth="1"/>
    <x:col min="18" max="18" width="26" hidden="0" customWidth="1"/>
  </x:cols>
  <x:sheetData>
    <x:row r="1" ht="34" customHeight="1">
      <x:c r="A1" s="35" t="str">
        <x:v>商品数据｜运营填写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7"/>
    </x:row>
    <x:row r="2" ht="30" customHeight="1">
      <x:c r="A2" s="42" t="str">
        <x:v>一行代表一个日期 + 店铺 + 商品链接；黄色区域可直接替换成真实导出数据，预警字段用于 T+1 / T+3 / T+7 核查。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4"/>
    </x:row>
    <x:row r="3" ht="21" customHeight="1">
      <x:c r="A3" s="24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25"/>
    </x:row>
    <x:row r="4" ht="21" customHeight="1">
      <x:c r="A4" s="24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25"/>
    </x:row>
    <x:row r="5" ht="30" customHeight="1">
      <x:c r="A5" s="50" t="str">
        <x:v>日期</x:v>
      </x:c>
      <x:c r="B5" s="50" t="str">
        <x:v>店铺</x:v>
      </x:c>
      <x:c r="C5" s="50" t="str">
        <x:v>商品ID</x:v>
      </x:c>
      <x:c r="D5" s="50" t="str">
        <x:v>商品名称</x:v>
      </x:c>
      <x:c r="E5" s="50" t="str">
        <x:v>发布数量</x:v>
      </x:c>
      <x:c r="F5" s="50" t="str">
        <x:v>曝光</x:v>
      </x:c>
      <x:c r="G5" s="50" t="str">
        <x:v>点击率(%)</x:v>
      </x:c>
      <x:c r="H5" s="50" t="str">
        <x:v>CVR(%)</x:v>
      </x:c>
      <x:c r="I5" s="50" t="str">
        <x:v>销量</x:v>
      </x:c>
      <x:c r="J5" s="50" t="str">
        <x:v>GMV(CNY)</x:v>
      </x:c>
      <x:c r="K5" s="50" t="str">
        <x:v>GMV变化(%)</x:v>
      </x:c>
      <x:c r="L5" s="50" t="str">
        <x:v>曝光变化(%)</x:v>
      </x:c>
      <x:c r="M5" s="50" t="str">
        <x:v>CTR变化(百分点)</x:v>
      </x:c>
      <x:c r="N5" s="50" t="str">
        <x:v>CVR变化(百分点)</x:v>
      </x:c>
      <x:c r="O5" s="50" t="str">
        <x:v>预警节点</x:v>
      </x:c>
      <x:c r="P5" s="50" t="str">
        <x:v>建议动作</x:v>
      </x:c>
      <x:c r="Q5" s="50" t="str">
        <x:v>当前状态</x:v>
      </x:c>
      <x:c r="R5" s="50" t="str">
        <x:v>备注</x:v>
      </x:c>
    </x:row>
    <x:row r="6" ht="21" customHeight="1">
      <x:c r="A6" s="59" t="n">
        <x:v>46263</x:v>
      </x:c>
      <x:c r="B6" s="12" t="str">
        <x:v>US-旗舰店</x:v>
      </x:c>
      <x:c r="C6" s="12" t="str">
        <x:v>100176</x:v>
      </x:c>
      <x:c r="D6" s="12" t="str">
        <x:v>3D磁吸积木套装</x:v>
      </x:c>
      <x:c r="E6" s="12" t="n">
        <x:v>26</x:v>
      </x:c>
      <x:c r="F6" s="73" t="n">
        <x:v>486200</x:v>
      </x:c>
      <x:c r="G6" s="61" t="n">
        <x:v>4.82</x:v>
      </x:c>
      <x:c r="H6" s="61" t="n">
        <x:v>4.8</x:v>
      </x:c>
      <x:c r="I6" s="12" t="n">
        <x:v>428</x:v>
      </x:c>
      <x:c r="J6" s="60" t="n">
        <x:v>42680</x:v>
      </x:c>
      <x:c r="K6" s="61" t="n">
        <x:v>18.6</x:v>
      </x:c>
      <x:c r="L6" s="61" t="n">
        <x:v>8.4</x:v>
      </x:c>
      <x:c r="M6" s="61" t="n">
        <x:v>0.21</x:v>
      </x:c>
      <x:c r="N6" s="61" t="n">
        <x:v>0.72</x:v>
      </x:c>
      <x:c r="O6" s="12" t="str">
        <x:v>T+3</x:v>
      </x:c>
      <x:c r="P6" s="12" t="str"/>
      <x:c r="Q6" s="12" t="str">
        <x:v>表现良好</x:v>
      </x:c>
      <x:c r="R6" s="74" t="str"/>
    </x:row>
    <x:row r="7" ht="21" customHeight="1">
      <x:c r="A7" s="59" t="n">
        <x:v>46263</x:v>
      </x:c>
      <x:c r="B7" s="12" t="str">
        <x:v>US-日用店</x:v>
      </x:c>
      <x:c r="C7" s="12" t="str">
        <x:v>100238</x:v>
      </x:c>
      <x:c r="D7" s="12" t="str">
        <x:v>儿童户外泡泡机</x:v>
      </x:c>
      <x:c r="E7" s="12" t="n">
        <x:v>18</x:v>
      </x:c>
      <x:c r="F7" s="73" t="n">
        <x:v>312600</x:v>
      </x:c>
      <x:c r="G7" s="61" t="n">
        <x:v>3.91</x:v>
      </x:c>
      <x:c r="H7" s="61" t="n">
        <x:v>1.72</x:v>
      </x:c>
      <x:c r="I7" s="12" t="n">
        <x:v>198</x:v>
      </x:c>
      <x:c r="J7" s="60" t="n">
        <x:v>18420</x:v>
      </x:c>
      <x:c r="K7" s="61" t="n">
        <x:v>-12.4</x:v>
      </x:c>
      <x:c r="L7" s="61" t="n">
        <x:v>-28</x:v>
      </x:c>
      <x:c r="M7" s="61" t="n">
        <x:v>-0.62</x:v>
      </x:c>
      <x:c r="N7" s="61" t="n">
        <x:v>-1.18</x:v>
      </x:c>
      <x:c r="O7" s="12" t="str">
        <x:v>T+1</x:v>
      </x:c>
      <x:c r="P7" s="12" t="str">
        <x:v>先核查推荐流量与主图承接，再决定是否调整标题。</x:v>
      </x:c>
      <x:c r="Q7" s="12" t="str">
        <x:v>需处理</x:v>
      </x:c>
      <x:c r="R7" s="74" t="str"/>
    </x:row>
    <x:row r="8" ht="21" customHeight="1">
      <x:c r="A8" s="59" t="n">
        <x:v>46263</x:v>
      </x:c>
      <x:c r="B8" s="12" t="str">
        <x:v>TH-主店</x:v>
      </x:c>
      <x:c r="C8" s="12" t="str">
        <x:v>100091</x:v>
      </x:c>
      <x:c r="D8" s="12" t="str">
        <x:v>益智拼图礼盒</x:v>
      </x:c>
      <x:c r="E8" s="12" t="n">
        <x:v>15</x:v>
      </x:c>
      <x:c r="F8" s="73" t="n">
        <x:v>284100</x:v>
      </x:c>
      <x:c r="G8" s="61" t="n">
        <x:v>2.84</x:v>
      </x:c>
      <x:c r="H8" s="61" t="n">
        <x:v>2.2</x:v>
      </x:c>
      <x:c r="I8" s="12" t="n">
        <x:v>176</x:v>
      </x:c>
      <x:c r="J8" s="60" t="n">
        <x:v>15760</x:v>
      </x:c>
      <x:c r="K8" s="61" t="n">
        <x:v>6.8</x:v>
      </x:c>
      <x:c r="L8" s="61" t="n">
        <x:v>-12</x:v>
      </x:c>
      <x:c r="M8" s="61" t="n">
        <x:v>0.15</x:v>
      </x:c>
      <x:c r="N8" s="61" t="n">
        <x:v>-0.42</x:v>
      </x:c>
      <x:c r="O8" s="12" t="str">
        <x:v>T+7</x:v>
      </x:c>
      <x:c r="P8" s="12" t="str">
        <x:v>检查商品承接和优惠设置，继续观察 CVR 是否恢复。</x:v>
      </x:c>
      <x:c r="Q8" s="12" t="str">
        <x:v>需观察</x:v>
      </x:c>
      <x:c r="R8" s="74" t="str"/>
    </x:row>
    <x:row r="9" ht="21" customHeight="1">
      <x:c r="A9" s="59" t="n">
        <x:v>46263</x:v>
      </x:c>
      <x:c r="B9" s="12" t="str">
        <x:v>US-旗舰店</x:v>
      </x:c>
      <x:c r="C9" s="12" t="str">
        <x:v>100314</x:v>
      </x:c>
      <x:c r="D9" s="12" t="str">
        <x:v>儿童绘画水彩笔</x:v>
      </x:c>
      <x:c r="E9" s="12" t="n">
        <x:v>13</x:v>
      </x:c>
      <x:c r="F9" s="73" t="n">
        <x:v>198400</x:v>
      </x:c>
      <x:c r="G9" s="61" t="n">
        <x:v>3.48</x:v>
      </x:c>
      <x:c r="H9" s="61" t="n">
        <x:v>3.9</x:v>
      </x:c>
      <x:c r="I9" s="12" t="n">
        <x:v>142</x:v>
      </x:c>
      <x:c r="J9" s="60" t="n">
        <x:v>12360</x:v>
      </x:c>
      <x:c r="K9" s="61" t="n">
        <x:v>24.1</x:v>
      </x:c>
      <x:c r="L9" s="61" t="n">
        <x:v>12.5</x:v>
      </x:c>
      <x:c r="M9" s="61" t="n">
        <x:v>0.18</x:v>
      </x:c>
      <x:c r="N9" s="61" t="n">
        <x:v>0.38</x:v>
      </x:c>
      <x:c r="O9" s="12" t="str">
        <x:v>T+3</x:v>
      </x:c>
      <x:c r="P9" s="12" t="str"/>
      <x:c r="Q9" s="12" t="str">
        <x:v>表现良好</x:v>
      </x:c>
      <x:c r="R9" s="74" t="str"/>
    </x:row>
    <x:row r="10" ht="21" customHeight="1">
      <x:c r="A10" s="59" t="n">
        <x:v>46263</x:v>
      </x:c>
      <x:c r="B10" s="12" t="str">
        <x:v>TH-主店</x:v>
      </x:c>
      <x:c r="C10" s="12" t="str">
        <x:v>100407</x:v>
      </x:c>
      <x:c r="D10" s="12" t="str">
        <x:v>磁力迷宫玩具</x:v>
      </x:c>
      <x:c r="E10" s="12" t="n">
        <x:v>9</x:v>
      </x:c>
      <x:c r="F10" s="73" t="n">
        <x:v>166800</x:v>
      </x:c>
      <x:c r="G10" s="61" t="n">
        <x:v>2.19</x:v>
      </x:c>
      <x:c r="H10" s="61" t="n">
        <x:v>1.48</x:v>
      </x:c>
      <x:c r="I10" s="12" t="n">
        <x:v>94</x:v>
      </x:c>
      <x:c r="J10" s="60" t="n">
        <x:v>8120</x:v>
      </x:c>
      <x:c r="K10" s="61" t="n">
        <x:v>-26.5</x:v>
      </x:c>
      <x:c r="L10" s="61" t="n">
        <x:v>-31</x:v>
      </x:c>
      <x:c r="M10" s="61" t="n">
        <x:v>-0.84</x:v>
      </x:c>
      <x:c r="N10" s="61" t="n">
        <x:v>-1.46</x:v>
      </x:c>
      <x:c r="O10" s="12" t="str">
        <x:v>T+3</x:v>
      </x:c>
      <x:c r="P10" s="12" t="str">
        <x:v>优先检查广告落地页、流量来源和商品库存承接。</x:v>
      </x:c>
      <x:c r="Q10" s="12" t="str">
        <x:v>需处理</x:v>
      </x:c>
      <x:c r="R10" s="74" t="str"/>
    </x:row>
    <x:row r="11" ht="21" customHeight="1">
      <x:c r="A11" s="62" t="n">
        <x:v>46263</x:v>
      </x:c>
      <x:c r="B11" s="63" t="str">
        <x:v>US-日用店</x:v>
      </x:c>
      <x:c r="C11" s="63" t="str">
        <x:v>100512</x:v>
      </x:c>
      <x:c r="D11" s="63" t="str">
        <x:v>折叠儿童画板</x:v>
      </x:c>
      <x:c r="E11" s="63" t="n">
        <x:v>11</x:v>
      </x:c>
      <x:c r="F11" s="75" t="n">
        <x:v>143200</x:v>
      </x:c>
      <x:c r="G11" s="65" t="n">
        <x:v>3.02</x:v>
      </x:c>
      <x:c r="H11" s="65" t="n">
        <x:v>2.64</x:v>
      </x:c>
      <x:c r="I11" s="63" t="n">
        <x:v>78</x:v>
      </x:c>
      <x:c r="J11" s="64" t="n">
        <x:v>7680</x:v>
      </x:c>
      <x:c r="K11" s="65" t="n">
        <x:v>-3.7</x:v>
      </x:c>
      <x:c r="L11" s="65" t="n">
        <x:v>-8.2</x:v>
      </x:c>
      <x:c r="M11" s="65" t="n">
        <x:v>-0.22</x:v>
      </x:c>
      <x:c r="N11" s="65" t="n">
        <x:v>-0.24</x:v>
      </x:c>
      <x:c r="O11" s="63" t="str">
        <x:v>T+1</x:v>
      </x:c>
      <x:c r="P11" s="63" t="str">
        <x:v>继续观察，不足以单独判定为异常。</x:v>
      </x:c>
      <x:c r="Q11" s="63" t="str">
        <x:v>需观察</x:v>
      </x:c>
      <x:c r="R11" s="76" t="str"/>
    </x:row>
    <x:row r="12">
      <x:c r="A12" s="66"/>
      <x:c r="B12" s="66"/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</x:row>
    <x:row r="13">
      <x:c r="A13" s="66"/>
      <x:c r="B13" s="66"/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</x:row>
    <x:row r="14">
      <x:c r="A14" s="66"/>
      <x:c r="B14" s="66"/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</x:row>
    <x:row r="15">
      <x:c r="A15" s="66"/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</x:row>
    <x:row r="16">
      <x:c r="A16" s="66"/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</x:row>
    <x:row r="17">
      <x:c r="A17" s="66"/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</x:row>
    <x:row r="18">
      <x:c r="A18" s="66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</x:row>
    <x:row r="19">
      <x:c r="A19" s="66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</x:row>
    <x:row r="20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</x:row>
    <x:row r="2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</x:row>
    <x:row r="22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</x:row>
    <x:row r="23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</x:row>
    <x:row r="24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</x:row>
    <x:row r="25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</x:row>
    <x:row r="26">
      <x:c r="A26" s="66"/>
      <x:c r="B26" s="66"/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</x:row>
    <x:row r="27">
      <x:c r="A27" s="66"/>
      <x:c r="B27" s="66"/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</x:row>
    <x:row r="28">
      <x:c r="A28" s="66"/>
      <x:c r="B28" s="66"/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</x:row>
    <x:row r="29">
      <x:c r="A29" s="66"/>
      <x:c r="B29" s="66"/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</x:row>
    <x:row r="30">
      <x:c r="A30" s="66"/>
      <x:c r="B30" s="66"/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</x:row>
    <x:row r="31">
      <x:c r="A31" s="66"/>
      <x:c r="B31" s="66"/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</x:row>
    <x:row r="32">
      <x:c r="A32" s="66"/>
      <x:c r="B32" s="66"/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</x:row>
    <x:row r="33">
      <x:c r="A33" s="66"/>
      <x:c r="B33" s="66"/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</x:row>
    <x:row r="34">
      <x:c r="A34" s="66"/>
      <x:c r="B34" s="66"/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</x:row>
    <x:row r="35">
      <x:c r="A35" s="66"/>
      <x:c r="B35" s="66"/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</x:row>
    <x:row r="36">
      <x:c r="A36" s="66"/>
      <x:c r="B36" s="66"/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</x:row>
    <x:row r="37">
      <x:c r="A37" s="66"/>
      <x:c r="B37" s="66"/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</x:row>
    <x:row r="38">
      <x:c r="A38" s="66"/>
      <x:c r="B38" s="66"/>
      <x:c r="C38" s="66"/>
      <x:c r="D38" s="66"/>
      <x:c r="E38" s="66"/>
      <x:c r="F38" s="66"/>
      <x:c r="G38" s="66"/>
      <x:c r="H38" s="66"/>
      <x:c r="I38" s="66"/>
      <x:c r="J38" s="66"/>
      <x:c r="K38" s="66"/>
      <x:c r="L38" s="66"/>
      <x:c r="M38" s="66"/>
      <x:c r="N38" s="66"/>
      <x:c r="O38" s="66"/>
      <x:c r="P38" s="66"/>
      <x:c r="Q38" s="66"/>
      <x:c r="R38" s="66"/>
    </x:row>
    <x:row r="39">
      <x:c r="A39" s="66"/>
      <x:c r="B39" s="66"/>
      <x:c r="C39" s="66"/>
      <x:c r="D39" s="66"/>
      <x:c r="E39" s="66"/>
      <x:c r="F39" s="66"/>
      <x:c r="G39" s="66"/>
      <x:c r="H39" s="66"/>
      <x:c r="I39" s="66"/>
      <x:c r="J39" s="66"/>
      <x:c r="K39" s="66"/>
      <x:c r="L39" s="66"/>
      <x:c r="M39" s="66"/>
      <x:c r="N39" s="66"/>
      <x:c r="O39" s="66"/>
      <x:c r="P39" s="66"/>
      <x:c r="Q39" s="66"/>
      <x:c r="R39" s="66"/>
    </x:row>
    <x:row r="40">
      <x:c r="A40" s="66"/>
      <x:c r="B40" s="66"/>
      <x:c r="C40" s="66"/>
      <x:c r="D40" s="66"/>
      <x:c r="E40" s="66"/>
      <x:c r="F40" s="66"/>
      <x:c r="G40" s="66"/>
      <x:c r="H40" s="66"/>
      <x:c r="I40" s="66"/>
      <x:c r="J40" s="66"/>
      <x:c r="K40" s="66"/>
      <x:c r="L40" s="66"/>
      <x:c r="M40" s="66"/>
      <x:c r="N40" s="66"/>
      <x:c r="O40" s="66"/>
      <x:c r="P40" s="66"/>
      <x:c r="Q40" s="66"/>
      <x:c r="R40" s="66"/>
    </x:row>
    <x:row r="41">
      <x:c r="A41" s="66"/>
      <x:c r="B41" s="66"/>
      <x:c r="C41" s="66"/>
      <x:c r="D41" s="66"/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</x:row>
    <x:row r="42">
      <x:c r="A42" s="66"/>
      <x:c r="B42" s="66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</x:row>
    <x:row r="43">
      <x:c r="A43" s="66"/>
      <x:c r="B43" s="66"/>
      <x:c r="C43" s="66"/>
      <x:c r="D43" s="66"/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</x:row>
    <x:row r="44">
      <x:c r="A44" s="66"/>
      <x:c r="B44" s="66"/>
      <x:c r="C44" s="66"/>
      <x:c r="D44" s="66"/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</x:row>
    <x:row r="45">
      <x:c r="A45" s="66"/>
      <x:c r="B45" s="66"/>
      <x:c r="C45" s="66"/>
      <x:c r="D45" s="66"/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</x:row>
    <x:row r="46">
      <x:c r="A46" s="66"/>
      <x:c r="B46" s="66"/>
      <x:c r="C46" s="66"/>
      <x:c r="D46" s="66"/>
      <x:c r="E46" s="66"/>
      <x:c r="F46" s="66"/>
      <x:c r="G46" s="66"/>
      <x:c r="H46" s="66"/>
      <x:c r="I46" s="66"/>
      <x:c r="J46" s="66"/>
      <x:c r="K46" s="66"/>
      <x:c r="L46" s="66"/>
      <x:c r="M46" s="66"/>
      <x:c r="N46" s="66"/>
      <x:c r="O46" s="66"/>
      <x:c r="P46" s="66"/>
      <x:c r="Q46" s="66"/>
      <x:c r="R46" s="66"/>
    </x:row>
    <x:row r="47">
      <x:c r="A47" s="66"/>
      <x:c r="B47" s="66"/>
      <x:c r="C47" s="66"/>
      <x:c r="D47" s="66"/>
      <x:c r="E47" s="66"/>
      <x:c r="F47" s="66"/>
      <x:c r="G47" s="66"/>
      <x:c r="H47" s="66"/>
      <x:c r="I47" s="66"/>
      <x:c r="J47" s="66"/>
      <x:c r="K47" s="66"/>
      <x:c r="L47" s="66"/>
      <x:c r="M47" s="66"/>
      <x:c r="N47" s="66"/>
      <x:c r="O47" s="66"/>
      <x:c r="P47" s="66"/>
      <x:c r="Q47" s="66"/>
      <x:c r="R47" s="66"/>
    </x:row>
    <x:row r="48">
      <x:c r="A48" s="66"/>
      <x:c r="B48" s="66"/>
      <x:c r="C48" s="66"/>
      <x:c r="D48" s="66"/>
      <x:c r="E48" s="66"/>
      <x:c r="F48" s="66"/>
      <x:c r="G48" s="66"/>
      <x:c r="H48" s="66"/>
      <x:c r="I48" s="66"/>
      <x:c r="J48" s="66"/>
      <x:c r="K48" s="66"/>
      <x:c r="L48" s="66"/>
      <x:c r="M48" s="66"/>
      <x:c r="N48" s="66"/>
      <x:c r="O48" s="66"/>
      <x:c r="P48" s="66"/>
      <x:c r="Q48" s="66"/>
      <x:c r="R48" s="66"/>
    </x:row>
    <x:row r="49">
      <x:c r="A49" s="66"/>
      <x:c r="B49" s="66"/>
      <x:c r="C49" s="66"/>
      <x:c r="D49" s="66"/>
      <x:c r="E49" s="66"/>
      <x:c r="F49" s="66"/>
      <x:c r="G49" s="66"/>
      <x:c r="H49" s="66"/>
      <x:c r="I49" s="66"/>
      <x:c r="J49" s="66"/>
      <x:c r="K49" s="66"/>
      <x:c r="L49" s="66"/>
      <x:c r="M49" s="66"/>
      <x:c r="N49" s="66"/>
      <x:c r="O49" s="66"/>
      <x:c r="P49" s="66"/>
      <x:c r="Q49" s="66"/>
      <x:c r="R49" s="66"/>
    </x:row>
    <x:row r="50">
      <x:c r="A50" s="66"/>
      <x:c r="B50" s="66"/>
      <x:c r="C50" s="66"/>
      <x:c r="D50" s="66"/>
      <x:c r="E50" s="66"/>
      <x:c r="F50" s="66"/>
      <x:c r="G50" s="66"/>
      <x:c r="H50" s="66"/>
      <x:c r="I50" s="66"/>
      <x:c r="J50" s="66"/>
      <x:c r="K50" s="66"/>
      <x:c r="L50" s="66"/>
      <x:c r="M50" s="66"/>
      <x:c r="N50" s="66"/>
      <x:c r="O50" s="66"/>
      <x:c r="P50" s="66"/>
      <x:c r="Q50" s="66"/>
      <x:c r="R50" s="66"/>
    </x:row>
    <x:row r="51">
      <x:c r="A51" s="66"/>
      <x:c r="B51" s="66"/>
      <x:c r="C51" s="66"/>
      <x:c r="D51" s="66"/>
      <x:c r="E51" s="66"/>
      <x:c r="F51" s="66"/>
      <x:c r="G51" s="66"/>
      <x:c r="H51" s="66"/>
      <x:c r="I51" s="66"/>
      <x:c r="J51" s="66"/>
      <x:c r="K51" s="66"/>
      <x:c r="L51" s="66"/>
      <x:c r="M51" s="66"/>
      <x:c r="N51" s="66"/>
      <x:c r="O51" s="66"/>
      <x:c r="P51" s="66"/>
      <x:c r="Q51" s="66"/>
      <x:c r="R51" s="66"/>
    </x:row>
    <x:row r="52">
      <x:c r="A52" s="66"/>
      <x:c r="B52" s="66"/>
      <x:c r="C52" s="66"/>
      <x:c r="D52" s="66"/>
      <x:c r="E52" s="66"/>
      <x:c r="F52" s="66"/>
      <x:c r="G52" s="66"/>
      <x:c r="H52" s="66"/>
      <x:c r="I52" s="66"/>
      <x:c r="J52" s="66"/>
      <x:c r="K52" s="66"/>
      <x:c r="L52" s="66"/>
      <x:c r="M52" s="66"/>
      <x:c r="N52" s="66"/>
      <x:c r="O52" s="66"/>
      <x:c r="P52" s="66"/>
      <x:c r="Q52" s="66"/>
      <x:c r="R52" s="66"/>
    </x:row>
    <x:row r="53">
      <x:c r="A53" s="66"/>
      <x:c r="B53" s="66"/>
      <x:c r="C53" s="66"/>
      <x:c r="D53" s="66"/>
      <x:c r="E53" s="66"/>
      <x:c r="F53" s="66"/>
      <x:c r="G53" s="66"/>
      <x:c r="H53" s="66"/>
      <x:c r="I53" s="66"/>
      <x:c r="J53" s="66"/>
      <x:c r="K53" s="66"/>
      <x:c r="L53" s="66"/>
      <x:c r="M53" s="66"/>
      <x:c r="N53" s="66"/>
      <x:c r="O53" s="66"/>
      <x:c r="P53" s="66"/>
      <x:c r="Q53" s="66"/>
      <x:c r="R53" s="66"/>
    </x:row>
    <x:row r="54">
      <x:c r="A54" s="66"/>
      <x:c r="B54" s="66"/>
      <x:c r="C54" s="66"/>
      <x:c r="D54" s="66"/>
      <x:c r="E54" s="66"/>
      <x:c r="F54" s="66"/>
      <x:c r="G54" s="66"/>
      <x:c r="H54" s="66"/>
      <x:c r="I54" s="66"/>
      <x:c r="J54" s="66"/>
      <x:c r="K54" s="66"/>
      <x:c r="L54" s="66"/>
      <x:c r="M54" s="66"/>
      <x:c r="N54" s="66"/>
      <x:c r="O54" s="66"/>
      <x:c r="P54" s="66"/>
      <x:c r="Q54" s="66"/>
      <x:c r="R54" s="66"/>
    </x:row>
    <x:row r="55">
      <x:c r="A55" s="66"/>
      <x:c r="B55" s="66"/>
      <x:c r="C55" s="66"/>
      <x:c r="D55" s="66"/>
      <x:c r="E55" s="66"/>
      <x:c r="F55" s="66"/>
      <x:c r="G55" s="66"/>
      <x:c r="H55" s="66"/>
      <x:c r="I55" s="66"/>
      <x:c r="J55" s="66"/>
      <x:c r="K55" s="66"/>
      <x:c r="L55" s="66"/>
      <x:c r="M55" s="66"/>
      <x:c r="N55" s="66"/>
      <x:c r="O55" s="66"/>
      <x:c r="P55" s="66"/>
      <x:c r="Q55" s="66"/>
      <x:c r="R55" s="66"/>
    </x:row>
    <x:row r="56">
      <x:c r="A56" s="66"/>
      <x:c r="B56" s="66"/>
      <x:c r="C56" s="66"/>
      <x:c r="D56" s="66"/>
      <x:c r="E56" s="66"/>
      <x:c r="F56" s="66"/>
      <x:c r="G56" s="66"/>
      <x:c r="H56" s="66"/>
      <x:c r="I56" s="66"/>
      <x:c r="J56" s="66"/>
      <x:c r="K56" s="66"/>
      <x:c r="L56" s="66"/>
      <x:c r="M56" s="66"/>
      <x:c r="N56" s="66"/>
      <x:c r="O56" s="66"/>
      <x:c r="P56" s="66"/>
      <x:c r="Q56" s="66"/>
      <x:c r="R56" s="66"/>
    </x:row>
    <x:row r="57">
      <x:c r="A57" s="66"/>
      <x:c r="B57" s="66"/>
      <x:c r="C57" s="66"/>
      <x:c r="D57" s="66"/>
      <x:c r="E57" s="66"/>
      <x:c r="F57" s="66"/>
      <x:c r="G57" s="66"/>
      <x:c r="H57" s="66"/>
      <x:c r="I57" s="66"/>
      <x:c r="J57" s="66"/>
      <x:c r="K57" s="66"/>
      <x:c r="L57" s="66"/>
      <x:c r="M57" s="66"/>
      <x:c r="N57" s="66"/>
      <x:c r="O57" s="66"/>
      <x:c r="P57" s="66"/>
      <x:c r="Q57" s="66"/>
      <x:c r="R57" s="66"/>
    </x:row>
    <x:row r="58">
      <x:c r="A58" s="66"/>
      <x:c r="B58" s="66"/>
      <x:c r="C58" s="66"/>
      <x:c r="D58" s="66"/>
      <x:c r="E58" s="66"/>
      <x:c r="F58" s="66"/>
      <x:c r="G58" s="66"/>
      <x:c r="H58" s="66"/>
      <x:c r="I58" s="66"/>
      <x:c r="J58" s="66"/>
      <x:c r="K58" s="66"/>
      <x:c r="L58" s="66"/>
      <x:c r="M58" s="66"/>
      <x:c r="N58" s="66"/>
      <x:c r="O58" s="66"/>
      <x:c r="P58" s="66"/>
      <x:c r="Q58" s="66"/>
      <x:c r="R58" s="66"/>
    </x:row>
    <x:row r="59">
      <x:c r="A59" s="66"/>
      <x:c r="B59" s="66"/>
      <x:c r="C59" s="66"/>
      <x:c r="D59" s="66"/>
      <x:c r="E59" s="66"/>
      <x:c r="F59" s="66"/>
      <x:c r="G59" s="66"/>
      <x:c r="H59" s="66"/>
      <x:c r="I59" s="66"/>
      <x:c r="J59" s="66"/>
      <x:c r="K59" s="66"/>
      <x:c r="L59" s="66"/>
      <x:c r="M59" s="66"/>
      <x:c r="N59" s="66"/>
      <x:c r="O59" s="66"/>
      <x:c r="P59" s="66"/>
      <x:c r="Q59" s="66"/>
      <x:c r="R59" s="66"/>
    </x:row>
    <x:row r="60">
      <x:c r="A60" s="66"/>
      <x:c r="B60" s="66"/>
      <x:c r="C60" s="66"/>
      <x:c r="D60" s="66"/>
      <x:c r="E60" s="66"/>
      <x:c r="F60" s="66"/>
      <x:c r="G60" s="66"/>
      <x:c r="H60" s="66"/>
      <x:c r="I60" s="66"/>
      <x:c r="J60" s="66"/>
      <x:c r="K60" s="66"/>
      <x:c r="L60" s="66"/>
      <x:c r="M60" s="66"/>
      <x:c r="N60" s="66"/>
      <x:c r="O60" s="66"/>
      <x:c r="P60" s="66"/>
      <x:c r="Q60" s="66"/>
      <x:c r="R60" s="66"/>
    </x:row>
    <x:row r="61">
      <x:c r="A61" s="66"/>
      <x:c r="B61" s="66"/>
      <x:c r="C61" s="66"/>
      <x:c r="D61" s="66"/>
      <x:c r="E61" s="66"/>
      <x:c r="F61" s="66"/>
      <x:c r="G61" s="66"/>
      <x:c r="H61" s="66"/>
      <x:c r="I61" s="66"/>
      <x:c r="J61" s="66"/>
      <x:c r="K61" s="66"/>
      <x:c r="L61" s="66"/>
      <x:c r="M61" s="66"/>
      <x:c r="N61" s="66"/>
      <x:c r="O61" s="66"/>
      <x:c r="P61" s="66"/>
      <x:c r="Q61" s="66"/>
      <x:c r="R61" s="66"/>
    </x:row>
    <x:row r="62">
      <x:c r="A62" s="66"/>
      <x:c r="B62" s="66"/>
      <x:c r="C62" s="66"/>
      <x:c r="D62" s="66"/>
      <x:c r="E62" s="66"/>
      <x:c r="F62" s="66"/>
      <x:c r="G62" s="66"/>
      <x:c r="H62" s="66"/>
      <x:c r="I62" s="66"/>
      <x:c r="J62" s="66"/>
      <x:c r="K62" s="66"/>
      <x:c r="L62" s="66"/>
      <x:c r="M62" s="66"/>
      <x:c r="N62" s="66"/>
      <x:c r="O62" s="66"/>
      <x:c r="P62" s="66"/>
      <x:c r="Q62" s="66"/>
      <x:c r="R62" s="66"/>
    </x:row>
    <x:row r="63">
      <x:c r="A63" s="66"/>
      <x:c r="B63" s="66"/>
      <x:c r="C63" s="66"/>
      <x:c r="D63" s="66"/>
      <x:c r="E63" s="66"/>
      <x:c r="F63" s="66"/>
      <x:c r="G63" s="66"/>
      <x:c r="H63" s="66"/>
      <x:c r="I63" s="66"/>
      <x:c r="J63" s="66"/>
      <x:c r="K63" s="66"/>
      <x:c r="L63" s="66"/>
      <x:c r="M63" s="66"/>
      <x:c r="N63" s="66"/>
      <x:c r="O63" s="66"/>
      <x:c r="P63" s="66"/>
      <x:c r="Q63" s="66"/>
      <x:c r="R63" s="66"/>
    </x:row>
    <x:row r="64">
      <x:c r="A64" s="66"/>
      <x:c r="B64" s="66"/>
      <x:c r="C64" s="66"/>
      <x:c r="D64" s="66"/>
      <x:c r="E64" s="66"/>
      <x:c r="F64" s="66"/>
      <x:c r="G64" s="66"/>
      <x:c r="H64" s="66"/>
      <x:c r="I64" s="66"/>
      <x:c r="J64" s="66"/>
      <x:c r="K64" s="66"/>
      <x:c r="L64" s="66"/>
      <x:c r="M64" s="66"/>
      <x:c r="N64" s="66"/>
      <x:c r="O64" s="66"/>
      <x:c r="P64" s="66"/>
      <x:c r="Q64" s="66"/>
      <x:c r="R64" s="66"/>
    </x:row>
    <x:row r="65">
      <x:c r="A65" s="66"/>
      <x:c r="B65" s="66"/>
      <x:c r="C65" s="66"/>
      <x:c r="D65" s="66"/>
      <x:c r="E65" s="66"/>
      <x:c r="F65" s="66"/>
      <x:c r="G65" s="66"/>
      <x:c r="H65" s="66"/>
      <x:c r="I65" s="66"/>
      <x:c r="J65" s="66"/>
      <x:c r="K65" s="66"/>
      <x:c r="L65" s="66"/>
      <x:c r="M65" s="66"/>
      <x:c r="N65" s="66"/>
      <x:c r="O65" s="66"/>
      <x:c r="P65" s="66"/>
      <x:c r="Q65" s="66"/>
      <x:c r="R65" s="66"/>
    </x:row>
    <x:row r="66">
      <x:c r="A66" s="66"/>
      <x:c r="B66" s="66"/>
      <x:c r="C66" s="66"/>
      <x:c r="D66" s="66"/>
      <x:c r="E66" s="66"/>
      <x:c r="F66" s="66"/>
      <x:c r="G66" s="66"/>
      <x:c r="H66" s="66"/>
      <x:c r="I66" s="66"/>
      <x:c r="J66" s="66"/>
      <x:c r="K66" s="66"/>
      <x:c r="L66" s="66"/>
      <x:c r="M66" s="66"/>
      <x:c r="N66" s="66"/>
      <x:c r="O66" s="66"/>
      <x:c r="P66" s="66"/>
      <x:c r="Q66" s="66"/>
      <x:c r="R66" s="66"/>
    </x:row>
    <x:row r="67">
      <x:c r="A67" s="66"/>
      <x:c r="B67" s="66"/>
      <x:c r="C67" s="66"/>
      <x:c r="D67" s="66"/>
      <x:c r="E67" s="66"/>
      <x:c r="F67" s="66"/>
      <x:c r="G67" s="66"/>
      <x:c r="H67" s="66"/>
      <x:c r="I67" s="66"/>
      <x:c r="J67" s="66"/>
      <x:c r="K67" s="66"/>
      <x:c r="L67" s="66"/>
      <x:c r="M67" s="66"/>
      <x:c r="N67" s="66"/>
      <x:c r="O67" s="66"/>
      <x:c r="P67" s="66"/>
      <x:c r="Q67" s="66"/>
      <x:c r="R67" s="66"/>
    </x:row>
    <x:row r="68">
      <x:c r="A68" s="66"/>
      <x:c r="B68" s="66"/>
      <x:c r="C68" s="66"/>
      <x:c r="D68" s="66"/>
      <x:c r="E68" s="66"/>
      <x:c r="F68" s="66"/>
      <x:c r="G68" s="66"/>
      <x:c r="H68" s="66"/>
      <x:c r="I68" s="66"/>
      <x:c r="J68" s="66"/>
      <x:c r="K68" s="66"/>
      <x:c r="L68" s="66"/>
      <x:c r="M68" s="66"/>
      <x:c r="N68" s="66"/>
      <x:c r="O68" s="66"/>
      <x:c r="P68" s="66"/>
      <x:c r="Q68" s="66"/>
      <x:c r="R68" s="66"/>
    </x:row>
    <x:row r="69">
      <x:c r="A69" s="66"/>
      <x:c r="B69" s="66"/>
      <x:c r="C69" s="66"/>
      <x:c r="D69" s="66"/>
      <x:c r="E69" s="66"/>
      <x:c r="F69" s="66"/>
      <x:c r="G69" s="66"/>
      <x:c r="H69" s="66"/>
      <x:c r="I69" s="66"/>
      <x:c r="J69" s="66"/>
      <x:c r="K69" s="66"/>
      <x:c r="L69" s="66"/>
      <x:c r="M69" s="66"/>
      <x:c r="N69" s="66"/>
      <x:c r="O69" s="66"/>
      <x:c r="P69" s="66"/>
      <x:c r="Q69" s="66"/>
      <x:c r="R69" s="66"/>
    </x:row>
    <x:row r="70">
      <x:c r="A70" s="66"/>
      <x:c r="B70" s="66"/>
      <x:c r="C70" s="66"/>
      <x:c r="D70" s="66"/>
      <x:c r="E70" s="66"/>
      <x:c r="F70" s="66"/>
      <x:c r="G70" s="66"/>
      <x:c r="H70" s="66"/>
      <x:c r="I70" s="66"/>
      <x:c r="J70" s="66"/>
      <x:c r="K70" s="66"/>
      <x:c r="L70" s="66"/>
      <x:c r="M70" s="66"/>
      <x:c r="N70" s="66"/>
      <x:c r="O70" s="66"/>
      <x:c r="P70" s="66"/>
      <x:c r="Q70" s="66"/>
      <x:c r="R70" s="66"/>
    </x:row>
    <x:row r="71">
      <x:c r="A71" s="66"/>
      <x:c r="B71" s="66"/>
      <x:c r="C71" s="66"/>
      <x:c r="D71" s="66"/>
      <x:c r="E71" s="66"/>
      <x:c r="F71" s="66"/>
      <x:c r="G71" s="66"/>
      <x:c r="H71" s="66"/>
      <x:c r="I71" s="66"/>
      <x:c r="J71" s="66"/>
      <x:c r="K71" s="66"/>
      <x:c r="L71" s="66"/>
      <x:c r="M71" s="66"/>
      <x:c r="N71" s="66"/>
      <x:c r="O71" s="66"/>
      <x:c r="P71" s="66"/>
      <x:c r="Q71" s="66"/>
      <x:c r="R71" s="66"/>
    </x:row>
    <x:row r="72">
      <x:c r="A72" s="66"/>
      <x:c r="B72" s="66"/>
      <x:c r="C72" s="66"/>
      <x:c r="D72" s="66"/>
      <x:c r="E72" s="66"/>
      <x:c r="F72" s="66"/>
      <x:c r="G72" s="66"/>
      <x:c r="H72" s="66"/>
      <x:c r="I72" s="66"/>
      <x:c r="J72" s="66"/>
      <x:c r="K72" s="66"/>
      <x:c r="L72" s="66"/>
      <x:c r="M72" s="66"/>
      <x:c r="N72" s="66"/>
      <x:c r="O72" s="66"/>
      <x:c r="P72" s="66"/>
      <x:c r="Q72" s="66"/>
      <x:c r="R72" s="66"/>
    </x:row>
    <x:row r="73">
      <x:c r="A73" s="66"/>
      <x:c r="B73" s="66"/>
      <x:c r="C73" s="66"/>
      <x:c r="D73" s="66"/>
      <x:c r="E73" s="66"/>
      <x:c r="F73" s="66"/>
      <x:c r="G73" s="66"/>
      <x:c r="H73" s="66"/>
      <x:c r="I73" s="66"/>
      <x:c r="J73" s="66"/>
      <x:c r="K73" s="66"/>
      <x:c r="L73" s="66"/>
      <x:c r="M73" s="66"/>
      <x:c r="N73" s="66"/>
      <x:c r="O73" s="66"/>
      <x:c r="P73" s="66"/>
      <x:c r="Q73" s="66"/>
      <x:c r="R73" s="66"/>
    </x:row>
    <x:row r="74">
      <x:c r="A74" s="66"/>
      <x:c r="B74" s="66"/>
      <x:c r="C74" s="66"/>
      <x:c r="D74" s="66"/>
      <x:c r="E74" s="66"/>
      <x:c r="F74" s="66"/>
      <x:c r="G74" s="66"/>
      <x:c r="H74" s="66"/>
      <x:c r="I74" s="66"/>
      <x:c r="J74" s="66"/>
      <x:c r="K74" s="66"/>
      <x:c r="L74" s="66"/>
      <x:c r="M74" s="66"/>
      <x:c r="N74" s="66"/>
      <x:c r="O74" s="66"/>
      <x:c r="P74" s="66"/>
      <x:c r="Q74" s="66"/>
      <x:c r="R74" s="66"/>
    </x:row>
    <x:row r="75">
      <x:c r="A75" s="66"/>
      <x:c r="B75" s="66"/>
      <x:c r="C75" s="66"/>
      <x:c r="D75" s="66"/>
      <x:c r="E75" s="66"/>
      <x:c r="F75" s="66"/>
      <x:c r="G75" s="66"/>
      <x:c r="H75" s="66"/>
      <x:c r="I75" s="66"/>
      <x:c r="J75" s="66"/>
      <x:c r="K75" s="66"/>
      <x:c r="L75" s="66"/>
      <x:c r="M75" s="66"/>
      <x:c r="N75" s="66"/>
      <x:c r="O75" s="66"/>
      <x:c r="P75" s="66"/>
      <x:c r="Q75" s="66"/>
      <x:c r="R75" s="66"/>
    </x:row>
    <x:row r="76">
      <x:c r="A76" s="66"/>
      <x:c r="B76" s="66"/>
      <x:c r="C76" s="66"/>
      <x:c r="D76" s="66"/>
      <x:c r="E76" s="66"/>
      <x:c r="F76" s="66"/>
      <x:c r="G76" s="66"/>
      <x:c r="H76" s="66"/>
      <x:c r="I76" s="66"/>
      <x:c r="J76" s="66"/>
      <x:c r="K76" s="66"/>
      <x:c r="L76" s="66"/>
      <x:c r="M76" s="66"/>
      <x:c r="N76" s="66"/>
      <x:c r="O76" s="66"/>
      <x:c r="P76" s="66"/>
      <x:c r="Q76" s="66"/>
      <x:c r="R76" s="66"/>
    </x:row>
    <x:row r="77">
      <x:c r="A77" s="66"/>
      <x:c r="B77" s="66"/>
      <x:c r="C77" s="66"/>
      <x:c r="D77" s="66"/>
      <x:c r="E77" s="66"/>
      <x:c r="F77" s="66"/>
      <x:c r="G77" s="66"/>
      <x:c r="H77" s="66"/>
      <x:c r="I77" s="66"/>
      <x:c r="J77" s="66"/>
      <x:c r="K77" s="66"/>
      <x:c r="L77" s="66"/>
      <x:c r="M77" s="66"/>
      <x:c r="N77" s="66"/>
      <x:c r="O77" s="66"/>
      <x:c r="P77" s="66"/>
      <x:c r="Q77" s="66"/>
      <x:c r="R77" s="66"/>
    </x:row>
    <x:row r="78">
      <x:c r="A78" s="66"/>
      <x:c r="B78" s="66"/>
      <x:c r="C78" s="66"/>
      <x:c r="D78" s="66"/>
      <x:c r="E78" s="66"/>
      <x:c r="F78" s="66"/>
      <x:c r="G78" s="66"/>
      <x:c r="H78" s="66"/>
      <x:c r="I78" s="66"/>
      <x:c r="J78" s="66"/>
      <x:c r="K78" s="66"/>
      <x:c r="L78" s="66"/>
      <x:c r="M78" s="66"/>
      <x:c r="N78" s="66"/>
      <x:c r="O78" s="66"/>
      <x:c r="P78" s="66"/>
      <x:c r="Q78" s="66"/>
      <x:c r="R78" s="66"/>
    </x:row>
    <x:row r="79">
      <x:c r="A79" s="66"/>
      <x:c r="B79" s="66"/>
      <x:c r="C79" s="66"/>
      <x:c r="D79" s="66"/>
      <x:c r="E79" s="66"/>
      <x:c r="F79" s="66"/>
      <x:c r="G79" s="66"/>
      <x:c r="H79" s="66"/>
      <x:c r="I79" s="66"/>
      <x:c r="J79" s="66"/>
      <x:c r="K79" s="66"/>
      <x:c r="L79" s="66"/>
      <x:c r="M79" s="66"/>
      <x:c r="N79" s="66"/>
      <x:c r="O79" s="66"/>
      <x:c r="P79" s="66"/>
      <x:c r="Q79" s="66"/>
      <x:c r="R79" s="66"/>
    </x:row>
    <x:row r="80">
      <x:c r="A80" s="66"/>
      <x:c r="B80" s="66"/>
      <x:c r="C80" s="66"/>
      <x:c r="D80" s="66"/>
      <x:c r="E80" s="66"/>
      <x:c r="F80" s="66"/>
      <x:c r="G80" s="66"/>
      <x:c r="H80" s="66"/>
      <x:c r="I80" s="66"/>
      <x:c r="J80" s="66"/>
      <x:c r="K80" s="66"/>
      <x:c r="L80" s="66"/>
      <x:c r="M80" s="66"/>
      <x:c r="N80" s="66"/>
      <x:c r="O80" s="66"/>
      <x:c r="P80" s="66"/>
      <x:c r="Q80" s="66"/>
      <x:c r="R80" s="66"/>
    </x:row>
    <x:row r="81">
      <x:c r="A81" s="66"/>
      <x:c r="B81" s="66"/>
      <x:c r="C81" s="66"/>
      <x:c r="D81" s="66"/>
      <x:c r="E81" s="66"/>
      <x:c r="F81" s="66"/>
      <x:c r="G81" s="66"/>
      <x:c r="H81" s="66"/>
      <x:c r="I81" s="66"/>
      <x:c r="J81" s="66"/>
      <x:c r="K81" s="66"/>
      <x:c r="L81" s="66"/>
      <x:c r="M81" s="66"/>
      <x:c r="N81" s="66"/>
      <x:c r="O81" s="66"/>
      <x:c r="P81" s="66"/>
      <x:c r="Q81" s="66"/>
      <x:c r="R81" s="66"/>
    </x:row>
    <x:row r="82">
      <x:c r="A82" s="66"/>
      <x:c r="B82" s="66"/>
      <x:c r="C82" s="66"/>
      <x:c r="D82" s="66"/>
      <x:c r="E82" s="66"/>
      <x:c r="F82" s="66"/>
      <x:c r="G82" s="66"/>
      <x:c r="H82" s="66"/>
      <x:c r="I82" s="66"/>
      <x:c r="J82" s="66"/>
      <x:c r="K82" s="66"/>
      <x:c r="L82" s="66"/>
      <x:c r="M82" s="66"/>
      <x:c r="N82" s="66"/>
      <x:c r="O82" s="66"/>
      <x:c r="P82" s="66"/>
      <x:c r="Q82" s="66"/>
      <x:c r="R82" s="66"/>
    </x:row>
    <x:row r="83">
      <x:c r="A83" s="66"/>
      <x:c r="B83" s="66"/>
      <x:c r="C83" s="66"/>
      <x:c r="D83" s="66"/>
      <x:c r="E83" s="66"/>
      <x:c r="F83" s="66"/>
      <x:c r="G83" s="66"/>
      <x:c r="H83" s="66"/>
      <x:c r="I83" s="66"/>
      <x:c r="J83" s="66"/>
      <x:c r="K83" s="66"/>
      <x:c r="L83" s="66"/>
      <x:c r="M83" s="66"/>
      <x:c r="N83" s="66"/>
      <x:c r="O83" s="66"/>
      <x:c r="P83" s="66"/>
      <x:c r="Q83" s="66"/>
      <x:c r="R83" s="66"/>
    </x:row>
    <x:row r="84">
      <x:c r="A84" s="66"/>
      <x:c r="B84" s="66"/>
      <x:c r="C84" s="66"/>
      <x:c r="D84" s="66"/>
      <x:c r="E84" s="66"/>
      <x:c r="F84" s="66"/>
      <x:c r="G84" s="66"/>
      <x:c r="H84" s="66"/>
      <x:c r="I84" s="66"/>
      <x:c r="J84" s="66"/>
      <x:c r="K84" s="66"/>
      <x:c r="L84" s="66"/>
      <x:c r="M84" s="66"/>
      <x:c r="N84" s="66"/>
      <x:c r="O84" s="66"/>
      <x:c r="P84" s="66"/>
      <x:c r="Q84" s="66"/>
      <x:c r="R84" s="66"/>
    </x:row>
    <x:row r="85">
      <x:c r="A85" s="66"/>
      <x:c r="B85" s="66"/>
      <x:c r="C85" s="66"/>
      <x:c r="D85" s="66"/>
      <x:c r="E85" s="66"/>
      <x:c r="F85" s="66"/>
      <x:c r="G85" s="66"/>
      <x:c r="H85" s="66"/>
      <x:c r="I85" s="66"/>
      <x:c r="J85" s="66"/>
      <x:c r="K85" s="66"/>
      <x:c r="L85" s="66"/>
      <x:c r="M85" s="66"/>
      <x:c r="N85" s="66"/>
      <x:c r="O85" s="66"/>
      <x:c r="P85" s="66"/>
      <x:c r="Q85" s="66"/>
      <x:c r="R85" s="66"/>
    </x:row>
    <x:row r="86">
      <x:c r="A86" s="66"/>
      <x:c r="B86" s="66"/>
      <x:c r="C86" s="66"/>
      <x:c r="D86" s="66"/>
      <x:c r="E86" s="66"/>
      <x:c r="F86" s="66"/>
      <x:c r="G86" s="66"/>
      <x:c r="H86" s="66"/>
      <x:c r="I86" s="66"/>
      <x:c r="J86" s="66"/>
      <x:c r="K86" s="66"/>
      <x:c r="L86" s="66"/>
      <x:c r="M86" s="66"/>
      <x:c r="N86" s="66"/>
      <x:c r="O86" s="66"/>
      <x:c r="P86" s="66"/>
      <x:c r="Q86" s="66"/>
      <x:c r="R86" s="66"/>
    </x:row>
    <x:row r="87">
      <x:c r="A87" s="66"/>
      <x:c r="B87" s="66"/>
      <x:c r="C87" s="66"/>
      <x:c r="D87" s="66"/>
      <x:c r="E87" s="66"/>
      <x:c r="F87" s="66"/>
      <x:c r="G87" s="66"/>
      <x:c r="H87" s="66"/>
      <x:c r="I87" s="66"/>
      <x:c r="J87" s="66"/>
      <x:c r="K87" s="66"/>
      <x:c r="L87" s="66"/>
      <x:c r="M87" s="66"/>
      <x:c r="N87" s="66"/>
      <x:c r="O87" s="66"/>
      <x:c r="P87" s="66"/>
      <x:c r="Q87" s="66"/>
      <x:c r="R87" s="66"/>
    </x:row>
    <x:row r="88">
      <x:c r="A88" s="66"/>
      <x:c r="B88" s="66"/>
      <x:c r="C88" s="66"/>
      <x:c r="D88" s="66"/>
      <x:c r="E88" s="66"/>
      <x:c r="F88" s="66"/>
      <x:c r="G88" s="66"/>
      <x:c r="H88" s="66"/>
      <x:c r="I88" s="66"/>
      <x:c r="J88" s="66"/>
      <x:c r="K88" s="66"/>
      <x:c r="L88" s="66"/>
      <x:c r="M88" s="66"/>
      <x:c r="N88" s="66"/>
      <x:c r="O88" s="66"/>
      <x:c r="P88" s="66"/>
      <x:c r="Q88" s="66"/>
      <x:c r="R88" s="66"/>
    </x:row>
    <x:row r="89">
      <x:c r="A89" s="66"/>
      <x:c r="B89" s="66"/>
      <x:c r="C89" s="66"/>
      <x:c r="D89" s="66"/>
      <x:c r="E89" s="66"/>
      <x:c r="F89" s="66"/>
      <x:c r="G89" s="66"/>
      <x:c r="H89" s="66"/>
      <x:c r="I89" s="66"/>
      <x:c r="J89" s="66"/>
      <x:c r="K89" s="66"/>
      <x:c r="L89" s="66"/>
      <x:c r="M89" s="66"/>
      <x:c r="N89" s="66"/>
      <x:c r="O89" s="66"/>
      <x:c r="P89" s="66"/>
      <x:c r="Q89" s="66"/>
      <x:c r="R89" s="66"/>
    </x:row>
    <x:row r="90">
      <x:c r="A90" s="66"/>
      <x:c r="B90" s="66"/>
      <x:c r="C90" s="66"/>
      <x:c r="D90" s="66"/>
      <x:c r="E90" s="66"/>
      <x:c r="F90" s="66"/>
      <x:c r="G90" s="66"/>
      <x:c r="H90" s="66"/>
      <x:c r="I90" s="66"/>
      <x:c r="J90" s="66"/>
      <x:c r="K90" s="66"/>
      <x:c r="L90" s="66"/>
      <x:c r="M90" s="66"/>
      <x:c r="N90" s="66"/>
      <x:c r="O90" s="66"/>
      <x:c r="P90" s="66"/>
      <x:c r="Q90" s="66"/>
      <x:c r="R90" s="66"/>
    </x:row>
    <x:row r="91">
      <x:c r="A91" s="66"/>
      <x:c r="B91" s="66"/>
      <x:c r="C91" s="66"/>
      <x:c r="D91" s="66"/>
      <x:c r="E91" s="66"/>
      <x:c r="F91" s="66"/>
      <x:c r="G91" s="66"/>
      <x:c r="H91" s="66"/>
      <x:c r="I91" s="66"/>
      <x:c r="J91" s="66"/>
      <x:c r="K91" s="66"/>
      <x:c r="L91" s="66"/>
      <x:c r="M91" s="66"/>
      <x:c r="N91" s="66"/>
      <x:c r="O91" s="66"/>
      <x:c r="P91" s="66"/>
      <x:c r="Q91" s="66"/>
      <x:c r="R91" s="66"/>
    </x:row>
    <x:row r="92">
      <x:c r="A92" s="66"/>
      <x:c r="B92" s="66"/>
      <x:c r="C92" s="66"/>
      <x:c r="D92" s="66"/>
      <x:c r="E92" s="66"/>
      <x:c r="F92" s="66"/>
      <x:c r="G92" s="66"/>
      <x:c r="H92" s="66"/>
      <x:c r="I92" s="66"/>
      <x:c r="J92" s="66"/>
      <x:c r="K92" s="66"/>
      <x:c r="L92" s="66"/>
      <x:c r="M92" s="66"/>
      <x:c r="N92" s="66"/>
      <x:c r="O92" s="66"/>
      <x:c r="P92" s="66"/>
      <x:c r="Q92" s="66"/>
      <x:c r="R92" s="66"/>
    </x:row>
    <x:row r="93">
      <x:c r="A93" s="66"/>
      <x:c r="B93" s="66"/>
      <x:c r="C93" s="66"/>
      <x:c r="D93" s="66"/>
      <x:c r="E93" s="66"/>
      <x:c r="F93" s="66"/>
      <x:c r="G93" s="66"/>
      <x:c r="H93" s="66"/>
      <x:c r="I93" s="66"/>
      <x:c r="J93" s="66"/>
      <x:c r="K93" s="66"/>
      <x:c r="L93" s="66"/>
      <x:c r="M93" s="66"/>
      <x:c r="N93" s="66"/>
      <x:c r="O93" s="66"/>
      <x:c r="P93" s="66"/>
      <x:c r="Q93" s="66"/>
      <x:c r="R93" s="66"/>
    </x:row>
    <x:row r="94">
      <x:c r="A94" s="66"/>
      <x:c r="B94" s="66"/>
      <x:c r="C94" s="66"/>
      <x:c r="D94" s="66"/>
      <x:c r="E94" s="66"/>
      <x:c r="F94" s="66"/>
      <x:c r="G94" s="66"/>
      <x:c r="H94" s="66"/>
      <x:c r="I94" s="66"/>
      <x:c r="J94" s="66"/>
      <x:c r="K94" s="66"/>
      <x:c r="L94" s="66"/>
      <x:c r="M94" s="66"/>
      <x:c r="N94" s="66"/>
      <x:c r="O94" s="66"/>
      <x:c r="P94" s="66"/>
      <x:c r="Q94" s="66"/>
      <x:c r="R94" s="66"/>
    </x:row>
    <x:row r="95">
      <x:c r="A95" s="66"/>
      <x:c r="B95" s="66"/>
      <x:c r="C95" s="66"/>
      <x:c r="D95" s="66"/>
      <x:c r="E95" s="66"/>
      <x:c r="F95" s="66"/>
      <x:c r="G95" s="66"/>
      <x:c r="H95" s="66"/>
      <x:c r="I95" s="66"/>
      <x:c r="J95" s="66"/>
      <x:c r="K95" s="66"/>
      <x:c r="L95" s="66"/>
      <x:c r="M95" s="66"/>
      <x:c r="N95" s="66"/>
      <x:c r="O95" s="66"/>
      <x:c r="P95" s="66"/>
      <x:c r="Q95" s="66"/>
      <x:c r="R95" s="66"/>
    </x:row>
    <x:row r="96">
      <x:c r="A96" s="66"/>
      <x:c r="B96" s="66"/>
      <x:c r="C96" s="66"/>
      <x:c r="D96" s="66"/>
      <x:c r="E96" s="66"/>
      <x:c r="F96" s="66"/>
      <x:c r="G96" s="66"/>
      <x:c r="H96" s="66"/>
      <x:c r="I96" s="66"/>
      <x:c r="J96" s="66"/>
      <x:c r="K96" s="66"/>
      <x:c r="L96" s="66"/>
      <x:c r="M96" s="66"/>
      <x:c r="N96" s="66"/>
      <x:c r="O96" s="66"/>
      <x:c r="P96" s="66"/>
      <x:c r="Q96" s="66"/>
      <x:c r="R96" s="66"/>
    </x:row>
    <x:row r="97">
      <x:c r="A97" s="66"/>
      <x:c r="B97" s="66"/>
      <x:c r="C97" s="66"/>
      <x:c r="D97" s="66"/>
      <x:c r="E97" s="66"/>
      <x:c r="F97" s="66"/>
      <x:c r="G97" s="66"/>
      <x:c r="H97" s="66"/>
      <x:c r="I97" s="66"/>
      <x:c r="J97" s="66"/>
      <x:c r="K97" s="66"/>
      <x:c r="L97" s="66"/>
      <x:c r="M97" s="66"/>
      <x:c r="N97" s="66"/>
      <x:c r="O97" s="66"/>
      <x:c r="P97" s="66"/>
      <x:c r="Q97" s="66"/>
      <x:c r="R97" s="66"/>
    </x:row>
    <x:row r="98">
      <x:c r="A98" s="66"/>
      <x:c r="B98" s="66"/>
      <x:c r="C98" s="66"/>
      <x:c r="D98" s="66"/>
      <x:c r="E98" s="66"/>
      <x:c r="F98" s="66"/>
      <x:c r="G98" s="66"/>
      <x:c r="H98" s="66"/>
      <x:c r="I98" s="66"/>
      <x:c r="J98" s="66"/>
      <x:c r="K98" s="66"/>
      <x:c r="L98" s="66"/>
      <x:c r="M98" s="66"/>
      <x:c r="N98" s="66"/>
      <x:c r="O98" s="66"/>
      <x:c r="P98" s="66"/>
      <x:c r="Q98" s="66"/>
      <x:c r="R98" s="66"/>
    </x:row>
    <x:row r="99">
      <x:c r="A99" s="66"/>
      <x:c r="B99" s="66"/>
      <x:c r="C99" s="66"/>
      <x:c r="D99" s="66"/>
      <x:c r="E99" s="66"/>
      <x:c r="F99" s="66"/>
      <x:c r="G99" s="66"/>
      <x:c r="H99" s="66"/>
      <x:c r="I99" s="66"/>
      <x:c r="J99" s="66"/>
      <x:c r="K99" s="66"/>
      <x:c r="L99" s="66"/>
      <x:c r="M99" s="66"/>
      <x:c r="N99" s="66"/>
      <x:c r="O99" s="66"/>
      <x:c r="P99" s="66"/>
      <x:c r="Q99" s="66"/>
      <x:c r="R99" s="66"/>
    </x:row>
    <x:row r="100">
      <x:c r="A100" s="66"/>
      <x:c r="B100" s="66"/>
      <x:c r="C100" s="66"/>
      <x:c r="D100" s="66"/>
      <x:c r="E100" s="66"/>
      <x:c r="F100" s="66"/>
      <x:c r="G100" s="66"/>
      <x:c r="H100" s="66"/>
      <x:c r="I100" s="66"/>
      <x:c r="J100" s="66"/>
      <x:c r="K100" s="66"/>
      <x:c r="L100" s="66"/>
      <x:c r="M100" s="66"/>
      <x:c r="N100" s="66"/>
      <x:c r="O100" s="66"/>
      <x:c r="P100" s="66"/>
      <x:c r="Q100" s="66"/>
      <x:c r="R100" s="66"/>
    </x:row>
    <x:row r="101">
      <x:c r="A101" s="66"/>
      <x:c r="B101" s="66"/>
      <x:c r="C101" s="66"/>
      <x:c r="D101" s="66"/>
      <x:c r="E101" s="66"/>
      <x:c r="F101" s="66"/>
      <x:c r="G101" s="66"/>
      <x:c r="H101" s="66"/>
      <x:c r="I101" s="66"/>
      <x:c r="J101" s="66"/>
      <x:c r="K101" s="66"/>
      <x:c r="L101" s="66"/>
      <x:c r="M101" s="66"/>
      <x:c r="N101" s="66"/>
      <x:c r="O101" s="66"/>
      <x:c r="P101" s="66"/>
      <x:c r="Q101" s="66"/>
      <x:c r="R101" s="66"/>
    </x:row>
    <x:row r="102">
      <x:c r="A102" s="66"/>
      <x:c r="B102" s="66"/>
      <x:c r="C102" s="66"/>
      <x:c r="D102" s="66"/>
      <x:c r="E102" s="66"/>
      <x:c r="F102" s="66"/>
      <x:c r="G102" s="66"/>
      <x:c r="H102" s="66"/>
      <x:c r="I102" s="66"/>
      <x:c r="J102" s="66"/>
      <x:c r="K102" s="66"/>
      <x:c r="L102" s="66"/>
      <x:c r="M102" s="66"/>
      <x:c r="N102" s="66"/>
      <x:c r="O102" s="66"/>
      <x:c r="P102" s="66"/>
      <x:c r="Q102" s="66"/>
      <x:c r="R102" s="66"/>
    </x:row>
    <x:row r="103">
      <x:c r="A103" s="66"/>
      <x:c r="B103" s="66"/>
      <x:c r="C103" s="66"/>
      <x:c r="D103" s="66"/>
      <x:c r="E103" s="66"/>
      <x:c r="F103" s="66"/>
      <x:c r="G103" s="66"/>
      <x:c r="H103" s="66"/>
      <x:c r="I103" s="66"/>
      <x:c r="J103" s="66"/>
      <x:c r="K103" s="66"/>
      <x:c r="L103" s="66"/>
      <x:c r="M103" s="66"/>
      <x:c r="N103" s="66"/>
      <x:c r="O103" s="66"/>
      <x:c r="P103" s="66"/>
      <x:c r="Q103" s="66"/>
      <x:c r="R103" s="66"/>
    </x:row>
    <x:row r="104">
      <x:c r="A104" s="66"/>
      <x:c r="B104" s="66"/>
      <x:c r="C104" s="66"/>
      <x:c r="D104" s="66"/>
      <x:c r="E104" s="66"/>
      <x:c r="F104" s="66"/>
      <x:c r="G104" s="66"/>
      <x:c r="H104" s="66"/>
      <x:c r="I104" s="66"/>
      <x:c r="J104" s="66"/>
      <x:c r="K104" s="66"/>
      <x:c r="L104" s="66"/>
      <x:c r="M104" s="66"/>
      <x:c r="N104" s="66"/>
      <x:c r="O104" s="66"/>
      <x:c r="P104" s="66"/>
      <x:c r="Q104" s="66"/>
      <x:c r="R104" s="66"/>
    </x:row>
    <x:row r="105">
      <x:c r="A105" s="66"/>
      <x:c r="B105" s="66"/>
      <x:c r="C105" s="66"/>
      <x:c r="D105" s="66"/>
      <x:c r="E105" s="66"/>
      <x:c r="F105" s="66"/>
      <x:c r="G105" s="66"/>
      <x:c r="H105" s="66"/>
      <x:c r="I105" s="66"/>
      <x:c r="J105" s="66"/>
      <x:c r="K105" s="66"/>
      <x:c r="L105" s="66"/>
      <x:c r="M105" s="66"/>
      <x:c r="N105" s="66"/>
      <x:c r="O105" s="66"/>
      <x:c r="P105" s="66"/>
      <x:c r="Q105" s="66"/>
      <x:c r="R105" s="66"/>
    </x:row>
    <x:row r="106">
      <x:c r="A106" s="66"/>
      <x:c r="B106" s="66"/>
      <x:c r="C106" s="66"/>
      <x:c r="D106" s="66"/>
      <x:c r="E106" s="66"/>
      <x:c r="F106" s="66"/>
      <x:c r="G106" s="66"/>
      <x:c r="H106" s="66"/>
      <x:c r="I106" s="66"/>
      <x:c r="J106" s="66"/>
      <x:c r="K106" s="66"/>
      <x:c r="L106" s="66"/>
      <x:c r="M106" s="66"/>
      <x:c r="N106" s="66"/>
      <x:c r="O106" s="66"/>
      <x:c r="P106" s="66"/>
      <x:c r="Q106" s="66"/>
      <x:c r="R106" s="66"/>
    </x:row>
    <x:row r="107">
      <x:c r="A107" s="66"/>
      <x:c r="B107" s="66"/>
      <x:c r="C107" s="66"/>
      <x:c r="D107" s="66"/>
      <x:c r="E107" s="66"/>
      <x:c r="F107" s="66"/>
      <x:c r="G107" s="66"/>
      <x:c r="H107" s="66"/>
      <x:c r="I107" s="66"/>
      <x:c r="J107" s="66"/>
      <x:c r="K107" s="66"/>
      <x:c r="L107" s="66"/>
      <x:c r="M107" s="66"/>
      <x:c r="N107" s="66"/>
      <x:c r="O107" s="66"/>
      <x:c r="P107" s="66"/>
      <x:c r="Q107" s="66"/>
      <x:c r="R107" s="66"/>
    </x:row>
    <x:row r="108">
      <x:c r="A108" s="66"/>
      <x:c r="B108" s="66"/>
      <x:c r="C108" s="66"/>
      <x:c r="D108" s="66"/>
      <x:c r="E108" s="66"/>
      <x:c r="F108" s="66"/>
      <x:c r="G108" s="66"/>
      <x:c r="H108" s="66"/>
      <x:c r="I108" s="66"/>
      <x:c r="J108" s="66"/>
      <x:c r="K108" s="66"/>
      <x:c r="L108" s="66"/>
      <x:c r="M108" s="66"/>
      <x:c r="N108" s="66"/>
      <x:c r="O108" s="66"/>
      <x:c r="P108" s="66"/>
      <x:c r="Q108" s="66"/>
      <x:c r="R108" s="66"/>
    </x:row>
    <x:row r="109">
      <x:c r="A109" s="66"/>
      <x:c r="B109" s="66"/>
      <x:c r="C109" s="66"/>
      <x:c r="D109" s="66"/>
      <x:c r="E109" s="66"/>
      <x:c r="F109" s="66"/>
      <x:c r="G109" s="66"/>
      <x:c r="H109" s="66"/>
      <x:c r="I109" s="66"/>
      <x:c r="J109" s="66"/>
      <x:c r="K109" s="66"/>
      <x:c r="L109" s="66"/>
      <x:c r="M109" s="66"/>
      <x:c r="N109" s="66"/>
      <x:c r="O109" s="66"/>
      <x:c r="P109" s="66"/>
      <x:c r="Q109" s="66"/>
      <x:c r="R109" s="66"/>
    </x:row>
    <x:row r="110">
      <x:c r="A110" s="66"/>
      <x:c r="B110" s="66"/>
      <x:c r="C110" s="66"/>
      <x:c r="D110" s="66"/>
      <x:c r="E110" s="66"/>
      <x:c r="F110" s="66"/>
      <x:c r="G110" s="66"/>
      <x:c r="H110" s="66"/>
      <x:c r="I110" s="66"/>
      <x:c r="J110" s="66"/>
      <x:c r="K110" s="66"/>
      <x:c r="L110" s="66"/>
      <x:c r="M110" s="66"/>
      <x:c r="N110" s="66"/>
      <x:c r="O110" s="66"/>
      <x:c r="P110" s="66"/>
      <x:c r="Q110" s="66"/>
      <x:c r="R110" s="66"/>
    </x:row>
  </x:sheetData>
  <x:mergeCells>
    <x:mergeCell ref="A1:R1"/>
    <x:mergeCell ref="A2:R2"/>
  </x:mergeCells>
  <x:conditionalFormatting sqref="Q6:Q110">
    <x:cfRule type="containsText" dxfId="3" priority="1" operator="containsText" text="待"/>
    <x:cfRule type="containsText" dxfId="4" priority="2" operator="containsText" text="有效"/>
    <x:cfRule type="containsText" dxfId="5" priority="3" operator="containsText" text="无效"/>
  </x:conditionalFormatting>
  <x:dataValidations count="3">
    <x:dataValidation type="list" sqref="B6:B110">
      <x:formula1>"US-旗舰店,US-日用店,TH-主店,新增店铺"</x:formula1>
    </x:dataValidation>
    <x:dataValidation type="list" sqref="O6:O110">
      <x:formula1>"T+1,T+3,T+7"</x:formula1>
    </x:dataValidation>
    <x:dataValidation type="list" sqref="Q6:Q110">
      <x:formula1>"表现良好,需观察,需处理,待填写"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a8eaf2273641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3" hidden="0" customWidth="1"/>
    <x:col min="4" max="4" width="13" hidden="0" customWidth="1"/>
    <x:col min="5" max="5" width="22" hidden="0" customWidth="1"/>
    <x:col min="6" max="6" width="28" hidden="0" customWidth="1"/>
    <x:col min="7" max="7" width="13" hidden="0" customWidth="1"/>
    <x:col min="8" max="8" width="13" hidden="0" customWidth="1"/>
    <x:col min="9" max="9" width="13" hidden="0" customWidth="1"/>
    <x:col min="10" max="10" width="36" hidden="0" customWidth="1"/>
    <x:col min="11" max="11" width="13" hidden="0" customWidth="1"/>
    <x:col min="12" max="12" width="24" hidden="0" customWidth="1"/>
  </x:cols>
  <x:sheetData>
    <x:row r="1" ht="34" customHeight="1">
      <x:c r="A1" s="35" t="str">
        <x:v>运营动作｜已执行清单与验证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7"/>
    </x:row>
    <x:row r="2" ht="30" customHeight="1">
      <x:c r="A2" s="42" t="str">
        <x:v>“已执行”只说明动作发生过；有效/无效必须由真实 T+1/T+3/T+7 证据确认。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4"/>
    </x:row>
    <x:row r="3" ht="21" customHeight="1">
      <x:c r="A3" s="24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25"/>
    </x:row>
    <x:row r="4" ht="21" customHeight="1">
      <x:c r="A4" s="24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25"/>
    </x:row>
    <x:row r="5" ht="30" customHeight="1">
      <x:c r="A5" s="50" t="str">
        <x:v>执行日期</x:v>
      </x:c>
      <x:c r="B5" s="50" t="str">
        <x:v>店铺</x:v>
      </x:c>
      <x:c r="C5" s="50" t="str">
        <x:v>对象类型</x:v>
      </x:c>
      <x:c r="D5" s="50" t="str">
        <x:v>对象ID</x:v>
      </x:c>
      <x:c r="E5" s="50" t="str">
        <x:v>已执行动作</x:v>
      </x:c>
      <x:c r="F5" s="50" t="str">
        <x:v>动作说明</x:v>
      </x:c>
      <x:c r="G5" s="50" t="str">
        <x:v>负责人</x:v>
      </x:c>
      <x:c r="H5" s="50" t="str">
        <x:v>验证节点</x:v>
      </x:c>
      <x:c r="I5" s="50" t="str">
        <x:v>验证状态</x:v>
      </x:c>
      <x:c r="J5" s="50" t="str">
        <x:v>验证证据</x:v>
      </x:c>
      <x:c r="K5" s="50" t="str">
        <x:v>是否已执行</x:v>
      </x:c>
      <x:c r="L5" s="50" t="str">
        <x:v>备注</x:v>
      </x:c>
    </x:row>
    <x:row r="6" ht="21" customHeight="1">
      <x:c r="A6" s="59" t="n">
        <x:v>46259</x:v>
      </x:c>
      <x:c r="B6" s="12" t="str">
        <x:v>US-旗舰店</x:v>
      </x:c>
      <x:c r="C6" s="12" t="str">
        <x:v>商品 ID</x:v>
      </x:c>
      <x:c r="D6" s="12" t="str">
        <x:v>100176</x:v>
      </x:c>
      <x:c r="E6" s="12" t="str">
        <x:v>优化主图与详情页</x:v>
      </x:c>
      <x:c r="F6" s="12" t="str">
        <x:v>替换首图并增加使用场景</x:v>
      </x:c>
      <x:c r="G6" s="12" t="str">
        <x:v>运营A</x:v>
      </x:c>
      <x:c r="H6" s="12" t="str">
        <x:v>T+3</x:v>
      </x:c>
      <x:c r="I6" s="12" t="str">
        <x:v>验证有效</x:v>
      </x:c>
      <x:c r="J6" s="12" t="str">
        <x:v>T+1 CVR 提升 0.8%，T+3 CVR 提升 1.7%，判定有效</x:v>
      </x:c>
      <x:c r="K6" s="12" t="str">
        <x:v>是</x:v>
      </x:c>
      <x:c r="L6" s="74" t="str"/>
    </x:row>
    <x:row r="7" ht="21" customHeight="1">
      <x:c r="A7" s="59" t="n">
        <x:v>46257</x:v>
      </x:c>
      <x:c r="B7" s="12" t="str">
        <x:v>US-旗舰店</x:v>
      </x:c>
      <x:c r="C7" s="12" t="str">
        <x:v>商品 ID</x:v>
      </x:c>
      <x:c r="D7" s="12" t="str">
        <x:v>100314</x:v>
      </x:c>
      <x:c r="E7" s="12" t="str">
        <x:v>调整价格</x:v>
      </x:c>
      <x:c r="F7" s="12" t="str">
        <x:v>测试组合装价格</x:v>
      </x:c>
      <x:c r="G7" s="12" t="str">
        <x:v>运营A</x:v>
      </x:c>
      <x:c r="H7" s="12" t="str">
        <x:v>T+7</x:v>
      </x:c>
      <x:c r="I7" s="12" t="str">
        <x:v>验证有效</x:v>
      </x:c>
      <x:c r="J7" s="12" t="str">
        <x:v>T+3 销量提升 18%，T+7 GMV 提升 26%，判定有效</x:v>
      </x:c>
      <x:c r="K7" s="12" t="str">
        <x:v>是</x:v>
      </x:c>
      <x:c r="L7" s="74" t="str"/>
    </x:row>
    <x:row r="8" ht="21" customHeight="1">
      <x:c r="A8" s="59" t="n">
        <x:v>46261</x:v>
      </x:c>
      <x:c r="B8" s="12" t="str">
        <x:v>US-日用店</x:v>
      </x:c>
      <x:c r="C8" s="12" t="str">
        <x:v>商品 ID</x:v>
      </x:c>
      <x:c r="D8" s="12" t="str">
        <x:v>100238</x:v>
      </x:c>
      <x:c r="E8" s="12" t="str">
        <x:v>调整标题</x:v>
      </x:c>
      <x:c r="F8" s="12" t="str">
        <x:v>前置核心卖点</x:v>
      </x:c>
      <x:c r="G8" s="12" t="str">
        <x:v>运营B</x:v>
      </x:c>
      <x:c r="H8" s="12" t="str">
        <x:v>T+1</x:v>
      </x:c>
      <x:c r="I8" s="12" t="str">
        <x:v>待验证</x:v>
      </x:c>
      <x:c r="J8" s="12" t="str">
        <x:v>等待 T+1 数据回传，暂不下结论</x:v>
      </x:c>
      <x:c r="K8" s="12" t="str">
        <x:v>是</x:v>
      </x:c>
      <x:c r="L8" s="74" t="str"/>
    </x:row>
    <x:row r="9" ht="21" customHeight="1">
      <x:c r="A9" s="59" t="n">
        <x:v>46252</x:v>
      </x:c>
      <x:c r="B9" s="12" t="str">
        <x:v>TH-主店</x:v>
      </x:c>
      <x:c r="C9" s="12" t="str">
        <x:v>商品 ID</x:v>
      </x:c>
      <x:c r="D9" s="12" t="str">
        <x:v>100091</x:v>
      </x:c>
      <x:c r="E9" s="12" t="str">
        <x:v>调整价格</x:v>
      </x:c>
      <x:c r="F9" s="12" t="str">
        <x:v>测试组合装价格</x:v>
      </x:c>
      <x:c r="G9" s="12" t="str">
        <x:v>运营A</x:v>
      </x:c>
      <x:c r="H9" s="12" t="str">
        <x:v>T+7</x:v>
      </x:c>
      <x:c r="I9" s="12" t="str">
        <x:v>验证无效</x:v>
      </x:c>
      <x:c r="J9" s="12" t="str">
        <x:v>T+7 CVR 无变化，ROI 下降，判定无效</x:v>
      </x:c>
      <x:c r="K9" s="12" t="str">
        <x:v>是</x:v>
      </x:c>
      <x:c r="L9" s="74" t="str"/>
    </x:row>
    <x:row r="10" ht="21" customHeight="1">
      <x:c r="A10" s="62" t="n">
        <x:v>46255</x:v>
      </x:c>
      <x:c r="B10" s="63" t="str">
        <x:v>TH-主店</x:v>
      </x:c>
      <x:c r="C10" s="63" t="str">
        <x:v>商品 ID</x:v>
      </x:c>
      <x:c r="D10" s="63" t="str">
        <x:v>100407</x:v>
      </x:c>
      <x:c r="E10" s="63" t="str">
        <x:v>更换广告落地页</x:v>
      </x:c>
      <x:c r="F10" s="63" t="str">
        <x:v>测试新的商品承接页</x:v>
      </x:c>
      <x:c r="G10" s="63" t="str">
        <x:v>运营B</x:v>
      </x:c>
      <x:c r="H10" s="63" t="str">
        <x:v>T+3</x:v>
      </x:c>
      <x:c r="I10" s="63" t="str">
        <x:v>验证无效</x:v>
      </x:c>
      <x:c r="J10" s="63" t="str">
        <x:v>T+3 曝光未恢复，销量继续下降，判定无效</x:v>
      </x:c>
      <x:c r="K10" s="63" t="str">
        <x:v>是</x:v>
      </x:c>
      <x:c r="L10" s="76" t="str"/>
    </x:row>
    <x:row r="11">
      <x:c r="A11" s="66"/>
      <x:c r="B11" s="66"/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</x:row>
    <x:row r="12">
      <x:c r="A12" s="66"/>
      <x:c r="B12" s="66"/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</x:row>
    <x:row r="13">
      <x:c r="A13" s="66"/>
      <x:c r="B13" s="66"/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</x:row>
    <x:row r="14">
      <x:c r="A14" s="66"/>
      <x:c r="B14" s="66"/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</x:row>
    <x:row r="15">
      <x:c r="A15" s="66"/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</x:row>
    <x:row r="16">
      <x:c r="A16" s="66"/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</x:row>
    <x:row r="17">
      <x:c r="A17" s="66"/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</x:row>
    <x:row r="18">
      <x:c r="A18" s="66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</x:row>
    <x:row r="19">
      <x:c r="A19" s="66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</x:row>
    <x:row r="20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</x:row>
    <x:row r="2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</x:row>
    <x:row r="22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</x:row>
    <x:row r="23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</x:row>
    <x:row r="24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</x:row>
    <x:row r="25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</x:row>
    <x:row r="26">
      <x:c r="A26" s="66"/>
      <x:c r="B26" s="66"/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</x:row>
    <x:row r="27">
      <x:c r="A27" s="66"/>
      <x:c r="B27" s="66"/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</x:row>
    <x:row r="28">
      <x:c r="A28" s="66"/>
      <x:c r="B28" s="66"/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</x:row>
    <x:row r="29">
      <x:c r="A29" s="66"/>
      <x:c r="B29" s="66"/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</x:row>
    <x:row r="30">
      <x:c r="A30" s="66"/>
      <x:c r="B30" s="66"/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</x:row>
    <x:row r="31">
      <x:c r="A31" s="66"/>
      <x:c r="B31" s="66"/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</x:row>
    <x:row r="32">
      <x:c r="A32" s="66"/>
      <x:c r="B32" s="66"/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</x:row>
    <x:row r="33">
      <x:c r="A33" s="66"/>
      <x:c r="B33" s="66"/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</x:row>
    <x:row r="34">
      <x:c r="A34" s="66"/>
      <x:c r="B34" s="66"/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</x:row>
    <x:row r="35">
      <x:c r="A35" s="66"/>
      <x:c r="B35" s="66"/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</x:row>
    <x:row r="36">
      <x:c r="A36" s="66"/>
      <x:c r="B36" s="66"/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</x:row>
    <x:row r="37">
      <x:c r="A37" s="66"/>
      <x:c r="B37" s="66"/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</x:row>
    <x:row r="38">
      <x:c r="A38" s="66"/>
      <x:c r="B38" s="66"/>
      <x:c r="C38" s="66"/>
      <x:c r="D38" s="66"/>
      <x:c r="E38" s="66"/>
      <x:c r="F38" s="66"/>
      <x:c r="G38" s="66"/>
      <x:c r="H38" s="66"/>
      <x:c r="I38" s="66"/>
      <x:c r="J38" s="66"/>
      <x:c r="K38" s="66"/>
      <x:c r="L38" s="66"/>
    </x:row>
    <x:row r="39">
      <x:c r="A39" s="66"/>
      <x:c r="B39" s="66"/>
      <x:c r="C39" s="66"/>
      <x:c r="D39" s="66"/>
      <x:c r="E39" s="66"/>
      <x:c r="F39" s="66"/>
      <x:c r="G39" s="66"/>
      <x:c r="H39" s="66"/>
      <x:c r="I39" s="66"/>
      <x:c r="J39" s="66"/>
      <x:c r="K39" s="66"/>
      <x:c r="L39" s="66"/>
    </x:row>
    <x:row r="40">
      <x:c r="A40" s="66"/>
      <x:c r="B40" s="66"/>
      <x:c r="C40" s="66"/>
      <x:c r="D40" s="66"/>
      <x:c r="E40" s="66"/>
      <x:c r="F40" s="66"/>
      <x:c r="G40" s="66"/>
      <x:c r="H40" s="66"/>
      <x:c r="I40" s="66"/>
      <x:c r="J40" s="66"/>
      <x:c r="K40" s="66"/>
      <x:c r="L40" s="66"/>
    </x:row>
    <x:row r="41">
      <x:c r="A41" s="66"/>
      <x:c r="B41" s="66"/>
      <x:c r="C41" s="66"/>
      <x:c r="D41" s="66"/>
      <x:c r="E41" s="66"/>
      <x:c r="F41" s="66"/>
      <x:c r="G41" s="66"/>
      <x:c r="H41" s="66"/>
      <x:c r="I41" s="66"/>
      <x:c r="J41" s="66"/>
      <x:c r="K41" s="66"/>
      <x:c r="L41" s="66"/>
    </x:row>
    <x:row r="42">
      <x:c r="A42" s="66"/>
      <x:c r="B42" s="66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</x:row>
    <x:row r="43">
      <x:c r="A43" s="66"/>
      <x:c r="B43" s="66"/>
      <x:c r="C43" s="66"/>
      <x:c r="D43" s="66"/>
      <x:c r="E43" s="66"/>
      <x:c r="F43" s="66"/>
      <x:c r="G43" s="66"/>
      <x:c r="H43" s="66"/>
      <x:c r="I43" s="66"/>
      <x:c r="J43" s="66"/>
      <x:c r="K43" s="66"/>
      <x:c r="L43" s="66"/>
    </x:row>
    <x:row r="44">
      <x:c r="A44" s="66"/>
      <x:c r="B44" s="66"/>
      <x:c r="C44" s="66"/>
      <x:c r="D44" s="66"/>
      <x:c r="E44" s="66"/>
      <x:c r="F44" s="66"/>
      <x:c r="G44" s="66"/>
      <x:c r="H44" s="66"/>
      <x:c r="I44" s="66"/>
      <x:c r="J44" s="66"/>
      <x:c r="K44" s="66"/>
      <x:c r="L44" s="66"/>
    </x:row>
    <x:row r="45">
      <x:c r="A45" s="66"/>
      <x:c r="B45" s="66"/>
      <x:c r="C45" s="66"/>
      <x:c r="D45" s="66"/>
      <x:c r="E45" s="66"/>
      <x:c r="F45" s="66"/>
      <x:c r="G45" s="66"/>
      <x:c r="H45" s="66"/>
      <x:c r="I45" s="66"/>
      <x:c r="J45" s="66"/>
      <x:c r="K45" s="66"/>
      <x:c r="L45" s="66"/>
    </x:row>
    <x:row r="46">
      <x:c r="A46" s="66"/>
      <x:c r="B46" s="66"/>
      <x:c r="C46" s="66"/>
      <x:c r="D46" s="66"/>
      <x:c r="E46" s="66"/>
      <x:c r="F46" s="66"/>
      <x:c r="G46" s="66"/>
      <x:c r="H46" s="66"/>
      <x:c r="I46" s="66"/>
      <x:c r="J46" s="66"/>
      <x:c r="K46" s="66"/>
      <x:c r="L46" s="66"/>
    </x:row>
    <x:row r="47">
      <x:c r="A47" s="66"/>
      <x:c r="B47" s="66"/>
      <x:c r="C47" s="66"/>
      <x:c r="D47" s="66"/>
      <x:c r="E47" s="66"/>
      <x:c r="F47" s="66"/>
      <x:c r="G47" s="66"/>
      <x:c r="H47" s="66"/>
      <x:c r="I47" s="66"/>
      <x:c r="J47" s="66"/>
      <x:c r="K47" s="66"/>
      <x:c r="L47" s="66"/>
    </x:row>
    <x:row r="48">
      <x:c r="A48" s="66"/>
      <x:c r="B48" s="66"/>
      <x:c r="C48" s="66"/>
      <x:c r="D48" s="66"/>
      <x:c r="E48" s="66"/>
      <x:c r="F48" s="66"/>
      <x:c r="G48" s="66"/>
      <x:c r="H48" s="66"/>
      <x:c r="I48" s="66"/>
      <x:c r="J48" s="66"/>
      <x:c r="K48" s="66"/>
      <x:c r="L48" s="66"/>
    </x:row>
    <x:row r="49">
      <x:c r="A49" s="66"/>
      <x:c r="B49" s="66"/>
      <x:c r="C49" s="66"/>
      <x:c r="D49" s="66"/>
      <x:c r="E49" s="66"/>
      <x:c r="F49" s="66"/>
      <x:c r="G49" s="66"/>
      <x:c r="H49" s="66"/>
      <x:c r="I49" s="66"/>
      <x:c r="J49" s="66"/>
      <x:c r="K49" s="66"/>
      <x:c r="L49" s="66"/>
    </x:row>
    <x:row r="50">
      <x:c r="A50" s="66"/>
      <x:c r="B50" s="66"/>
      <x:c r="C50" s="66"/>
      <x:c r="D50" s="66"/>
      <x:c r="E50" s="66"/>
      <x:c r="F50" s="66"/>
      <x:c r="G50" s="66"/>
      <x:c r="H50" s="66"/>
      <x:c r="I50" s="66"/>
      <x:c r="J50" s="66"/>
      <x:c r="K50" s="66"/>
      <x:c r="L50" s="66"/>
    </x:row>
    <x:row r="51">
      <x:c r="A51" s="66"/>
      <x:c r="B51" s="66"/>
      <x:c r="C51" s="66"/>
      <x:c r="D51" s="66"/>
      <x:c r="E51" s="66"/>
      <x:c r="F51" s="66"/>
      <x:c r="G51" s="66"/>
      <x:c r="H51" s="66"/>
      <x:c r="I51" s="66"/>
      <x:c r="J51" s="66"/>
      <x:c r="K51" s="66"/>
      <x:c r="L51" s="66"/>
    </x:row>
    <x:row r="52">
      <x:c r="A52" s="66"/>
      <x:c r="B52" s="66"/>
      <x:c r="C52" s="66"/>
      <x:c r="D52" s="66"/>
      <x:c r="E52" s="66"/>
      <x:c r="F52" s="66"/>
      <x:c r="G52" s="66"/>
      <x:c r="H52" s="66"/>
      <x:c r="I52" s="66"/>
      <x:c r="J52" s="66"/>
      <x:c r="K52" s="66"/>
      <x:c r="L52" s="66"/>
    </x:row>
    <x:row r="53">
      <x:c r="A53" s="66"/>
      <x:c r="B53" s="66"/>
      <x:c r="C53" s="66"/>
      <x:c r="D53" s="66"/>
      <x:c r="E53" s="66"/>
      <x:c r="F53" s="66"/>
      <x:c r="G53" s="66"/>
      <x:c r="H53" s="66"/>
      <x:c r="I53" s="66"/>
      <x:c r="J53" s="66"/>
      <x:c r="K53" s="66"/>
      <x:c r="L53" s="66"/>
    </x:row>
    <x:row r="54">
      <x:c r="A54" s="66"/>
      <x:c r="B54" s="66"/>
      <x:c r="C54" s="66"/>
      <x:c r="D54" s="66"/>
      <x:c r="E54" s="66"/>
      <x:c r="F54" s="66"/>
      <x:c r="G54" s="66"/>
      <x:c r="H54" s="66"/>
      <x:c r="I54" s="66"/>
      <x:c r="J54" s="66"/>
      <x:c r="K54" s="66"/>
      <x:c r="L54" s="66"/>
    </x:row>
    <x:row r="55">
      <x:c r="A55" s="66"/>
      <x:c r="B55" s="66"/>
      <x:c r="C55" s="66"/>
      <x:c r="D55" s="66"/>
      <x:c r="E55" s="66"/>
      <x:c r="F55" s="66"/>
      <x:c r="G55" s="66"/>
      <x:c r="H55" s="66"/>
      <x:c r="I55" s="66"/>
      <x:c r="J55" s="66"/>
      <x:c r="K55" s="66"/>
      <x:c r="L55" s="66"/>
    </x:row>
    <x:row r="56">
      <x:c r="A56" s="66"/>
      <x:c r="B56" s="66"/>
      <x:c r="C56" s="66"/>
      <x:c r="D56" s="66"/>
      <x:c r="E56" s="66"/>
      <x:c r="F56" s="66"/>
      <x:c r="G56" s="66"/>
      <x:c r="H56" s="66"/>
      <x:c r="I56" s="66"/>
      <x:c r="J56" s="66"/>
      <x:c r="K56" s="66"/>
      <x:c r="L56" s="66"/>
    </x:row>
    <x:row r="57">
      <x:c r="A57" s="66"/>
      <x:c r="B57" s="66"/>
      <x:c r="C57" s="66"/>
      <x:c r="D57" s="66"/>
      <x:c r="E57" s="66"/>
      <x:c r="F57" s="66"/>
      <x:c r="G57" s="66"/>
      <x:c r="H57" s="66"/>
      <x:c r="I57" s="66"/>
      <x:c r="J57" s="66"/>
      <x:c r="K57" s="66"/>
      <x:c r="L57" s="66"/>
    </x:row>
    <x:row r="58">
      <x:c r="A58" s="66"/>
      <x:c r="B58" s="66"/>
      <x:c r="C58" s="66"/>
      <x:c r="D58" s="66"/>
      <x:c r="E58" s="66"/>
      <x:c r="F58" s="66"/>
      <x:c r="G58" s="66"/>
      <x:c r="H58" s="66"/>
      <x:c r="I58" s="66"/>
      <x:c r="J58" s="66"/>
      <x:c r="K58" s="66"/>
      <x:c r="L58" s="66"/>
    </x:row>
    <x:row r="59">
      <x:c r="A59" s="66"/>
      <x:c r="B59" s="66"/>
      <x:c r="C59" s="66"/>
      <x:c r="D59" s="66"/>
      <x:c r="E59" s="66"/>
      <x:c r="F59" s="66"/>
      <x:c r="G59" s="66"/>
      <x:c r="H59" s="66"/>
      <x:c r="I59" s="66"/>
      <x:c r="J59" s="66"/>
      <x:c r="K59" s="66"/>
      <x:c r="L59" s="66"/>
    </x:row>
    <x:row r="60">
      <x:c r="A60" s="66"/>
      <x:c r="B60" s="66"/>
      <x:c r="C60" s="66"/>
      <x:c r="D60" s="66"/>
      <x:c r="E60" s="66"/>
      <x:c r="F60" s="66"/>
      <x:c r="G60" s="66"/>
      <x:c r="H60" s="66"/>
      <x:c r="I60" s="66"/>
      <x:c r="J60" s="66"/>
      <x:c r="K60" s="66"/>
      <x:c r="L60" s="66"/>
    </x:row>
    <x:row r="61">
      <x:c r="A61" s="66"/>
      <x:c r="B61" s="66"/>
      <x:c r="C61" s="66"/>
      <x:c r="D61" s="66"/>
      <x:c r="E61" s="66"/>
      <x:c r="F61" s="66"/>
      <x:c r="G61" s="66"/>
      <x:c r="H61" s="66"/>
      <x:c r="I61" s="66"/>
      <x:c r="J61" s="66"/>
      <x:c r="K61" s="66"/>
      <x:c r="L61" s="66"/>
    </x:row>
    <x:row r="62">
      <x:c r="A62" s="66"/>
      <x:c r="B62" s="66"/>
      <x:c r="C62" s="66"/>
      <x:c r="D62" s="66"/>
      <x:c r="E62" s="66"/>
      <x:c r="F62" s="66"/>
      <x:c r="G62" s="66"/>
      <x:c r="H62" s="66"/>
      <x:c r="I62" s="66"/>
      <x:c r="J62" s="66"/>
      <x:c r="K62" s="66"/>
      <x:c r="L62" s="66"/>
    </x:row>
    <x:row r="63">
      <x:c r="A63" s="66"/>
      <x:c r="B63" s="66"/>
      <x:c r="C63" s="66"/>
      <x:c r="D63" s="66"/>
      <x:c r="E63" s="66"/>
      <x:c r="F63" s="66"/>
      <x:c r="G63" s="66"/>
      <x:c r="H63" s="66"/>
      <x:c r="I63" s="66"/>
      <x:c r="J63" s="66"/>
      <x:c r="K63" s="66"/>
      <x:c r="L63" s="66"/>
    </x:row>
    <x:row r="64">
      <x:c r="A64" s="66"/>
      <x:c r="B64" s="66"/>
      <x:c r="C64" s="66"/>
      <x:c r="D64" s="66"/>
      <x:c r="E64" s="66"/>
      <x:c r="F64" s="66"/>
      <x:c r="G64" s="66"/>
      <x:c r="H64" s="66"/>
      <x:c r="I64" s="66"/>
      <x:c r="J64" s="66"/>
      <x:c r="K64" s="66"/>
      <x:c r="L64" s="66"/>
    </x:row>
    <x:row r="65">
      <x:c r="A65" s="66"/>
      <x:c r="B65" s="66"/>
      <x:c r="C65" s="66"/>
      <x:c r="D65" s="66"/>
      <x:c r="E65" s="66"/>
      <x:c r="F65" s="66"/>
      <x:c r="G65" s="66"/>
      <x:c r="H65" s="66"/>
      <x:c r="I65" s="66"/>
      <x:c r="J65" s="66"/>
      <x:c r="K65" s="66"/>
      <x:c r="L65" s="66"/>
    </x:row>
    <x:row r="66">
      <x:c r="A66" s="66"/>
      <x:c r="B66" s="66"/>
      <x:c r="C66" s="66"/>
      <x:c r="D66" s="66"/>
      <x:c r="E66" s="66"/>
      <x:c r="F66" s="66"/>
      <x:c r="G66" s="66"/>
      <x:c r="H66" s="66"/>
      <x:c r="I66" s="66"/>
      <x:c r="J66" s="66"/>
      <x:c r="K66" s="66"/>
      <x:c r="L66" s="66"/>
    </x:row>
    <x:row r="67">
      <x:c r="A67" s="66"/>
      <x:c r="B67" s="66"/>
      <x:c r="C67" s="66"/>
      <x:c r="D67" s="66"/>
      <x:c r="E67" s="66"/>
      <x:c r="F67" s="66"/>
      <x:c r="G67" s="66"/>
      <x:c r="H67" s="66"/>
      <x:c r="I67" s="66"/>
      <x:c r="J67" s="66"/>
      <x:c r="K67" s="66"/>
      <x:c r="L67" s="66"/>
    </x:row>
    <x:row r="68">
      <x:c r="A68" s="66"/>
      <x:c r="B68" s="66"/>
      <x:c r="C68" s="66"/>
      <x:c r="D68" s="66"/>
      <x:c r="E68" s="66"/>
      <x:c r="F68" s="66"/>
      <x:c r="G68" s="66"/>
      <x:c r="H68" s="66"/>
      <x:c r="I68" s="66"/>
      <x:c r="J68" s="66"/>
      <x:c r="K68" s="66"/>
      <x:c r="L68" s="66"/>
    </x:row>
    <x:row r="69">
      <x:c r="A69" s="66"/>
      <x:c r="B69" s="66"/>
      <x:c r="C69" s="66"/>
      <x:c r="D69" s="66"/>
      <x:c r="E69" s="66"/>
      <x:c r="F69" s="66"/>
      <x:c r="G69" s="66"/>
      <x:c r="H69" s="66"/>
      <x:c r="I69" s="66"/>
      <x:c r="J69" s="66"/>
      <x:c r="K69" s="66"/>
      <x:c r="L69" s="66"/>
    </x:row>
    <x:row r="70">
      <x:c r="A70" s="66"/>
      <x:c r="B70" s="66"/>
      <x:c r="C70" s="66"/>
      <x:c r="D70" s="66"/>
      <x:c r="E70" s="66"/>
      <x:c r="F70" s="66"/>
      <x:c r="G70" s="66"/>
      <x:c r="H70" s="66"/>
      <x:c r="I70" s="66"/>
      <x:c r="J70" s="66"/>
      <x:c r="K70" s="66"/>
      <x:c r="L70" s="66"/>
    </x:row>
    <x:row r="71">
      <x:c r="A71" s="66"/>
      <x:c r="B71" s="66"/>
      <x:c r="C71" s="66"/>
      <x:c r="D71" s="66"/>
      <x:c r="E71" s="66"/>
      <x:c r="F71" s="66"/>
      <x:c r="G71" s="66"/>
      <x:c r="H71" s="66"/>
      <x:c r="I71" s="66"/>
      <x:c r="J71" s="66"/>
      <x:c r="K71" s="66"/>
      <x:c r="L71" s="66"/>
    </x:row>
    <x:row r="72">
      <x:c r="A72" s="66"/>
      <x:c r="B72" s="66"/>
      <x:c r="C72" s="66"/>
      <x:c r="D72" s="66"/>
      <x:c r="E72" s="66"/>
      <x:c r="F72" s="66"/>
      <x:c r="G72" s="66"/>
      <x:c r="H72" s="66"/>
      <x:c r="I72" s="66"/>
      <x:c r="J72" s="66"/>
      <x:c r="K72" s="66"/>
      <x:c r="L72" s="66"/>
    </x:row>
    <x:row r="73">
      <x:c r="A73" s="66"/>
      <x:c r="B73" s="66"/>
      <x:c r="C73" s="66"/>
      <x:c r="D73" s="66"/>
      <x:c r="E73" s="66"/>
      <x:c r="F73" s="66"/>
      <x:c r="G73" s="66"/>
      <x:c r="H73" s="66"/>
      <x:c r="I73" s="66"/>
      <x:c r="J73" s="66"/>
      <x:c r="K73" s="66"/>
      <x:c r="L73" s="66"/>
    </x:row>
    <x:row r="74">
      <x:c r="A74" s="66"/>
      <x:c r="B74" s="66"/>
      <x:c r="C74" s="66"/>
      <x:c r="D74" s="66"/>
      <x:c r="E74" s="66"/>
      <x:c r="F74" s="66"/>
      <x:c r="G74" s="66"/>
      <x:c r="H74" s="66"/>
      <x:c r="I74" s="66"/>
      <x:c r="J74" s="66"/>
      <x:c r="K74" s="66"/>
      <x:c r="L74" s="66"/>
    </x:row>
    <x:row r="75">
      <x:c r="A75" s="66"/>
      <x:c r="B75" s="66"/>
      <x:c r="C75" s="66"/>
      <x:c r="D75" s="66"/>
      <x:c r="E75" s="66"/>
      <x:c r="F75" s="66"/>
      <x:c r="G75" s="66"/>
      <x:c r="H75" s="66"/>
      <x:c r="I75" s="66"/>
      <x:c r="J75" s="66"/>
      <x:c r="K75" s="66"/>
      <x:c r="L75" s="66"/>
    </x:row>
    <x:row r="76">
      <x:c r="A76" s="66"/>
      <x:c r="B76" s="66"/>
      <x:c r="C76" s="66"/>
      <x:c r="D76" s="66"/>
      <x:c r="E76" s="66"/>
      <x:c r="F76" s="66"/>
      <x:c r="G76" s="66"/>
      <x:c r="H76" s="66"/>
      <x:c r="I76" s="66"/>
      <x:c r="J76" s="66"/>
      <x:c r="K76" s="66"/>
      <x:c r="L76" s="66"/>
    </x:row>
    <x:row r="77">
      <x:c r="A77" s="66"/>
      <x:c r="B77" s="66"/>
      <x:c r="C77" s="66"/>
      <x:c r="D77" s="66"/>
      <x:c r="E77" s="66"/>
      <x:c r="F77" s="66"/>
      <x:c r="G77" s="66"/>
      <x:c r="H77" s="66"/>
      <x:c r="I77" s="66"/>
      <x:c r="J77" s="66"/>
      <x:c r="K77" s="66"/>
      <x:c r="L77" s="66"/>
    </x:row>
    <x:row r="78">
      <x:c r="A78" s="66"/>
      <x:c r="B78" s="66"/>
      <x:c r="C78" s="66"/>
      <x:c r="D78" s="66"/>
      <x:c r="E78" s="66"/>
      <x:c r="F78" s="66"/>
      <x:c r="G78" s="66"/>
      <x:c r="H78" s="66"/>
      <x:c r="I78" s="66"/>
      <x:c r="J78" s="66"/>
      <x:c r="K78" s="66"/>
      <x:c r="L78" s="66"/>
    </x:row>
    <x:row r="79">
      <x:c r="A79" s="66"/>
      <x:c r="B79" s="66"/>
      <x:c r="C79" s="66"/>
      <x:c r="D79" s="66"/>
      <x:c r="E79" s="66"/>
      <x:c r="F79" s="66"/>
      <x:c r="G79" s="66"/>
      <x:c r="H79" s="66"/>
      <x:c r="I79" s="66"/>
      <x:c r="J79" s="66"/>
      <x:c r="K79" s="66"/>
      <x:c r="L79" s="66"/>
    </x:row>
    <x:row r="80">
      <x:c r="A80" s="66"/>
      <x:c r="B80" s="66"/>
      <x:c r="C80" s="66"/>
      <x:c r="D80" s="66"/>
      <x:c r="E80" s="66"/>
      <x:c r="F80" s="66"/>
      <x:c r="G80" s="66"/>
      <x:c r="H80" s="66"/>
      <x:c r="I80" s="66"/>
      <x:c r="J80" s="66"/>
      <x:c r="K80" s="66"/>
      <x:c r="L80" s="66"/>
    </x:row>
    <x:row r="81">
      <x:c r="A81" s="66"/>
      <x:c r="B81" s="66"/>
      <x:c r="C81" s="66"/>
      <x:c r="D81" s="66"/>
      <x:c r="E81" s="66"/>
      <x:c r="F81" s="66"/>
      <x:c r="G81" s="66"/>
      <x:c r="H81" s="66"/>
      <x:c r="I81" s="66"/>
      <x:c r="J81" s="66"/>
      <x:c r="K81" s="66"/>
      <x:c r="L81" s="66"/>
    </x:row>
    <x:row r="82">
      <x:c r="A82" s="66"/>
      <x:c r="B82" s="66"/>
      <x:c r="C82" s="66"/>
      <x:c r="D82" s="66"/>
      <x:c r="E82" s="66"/>
      <x:c r="F82" s="66"/>
      <x:c r="G82" s="66"/>
      <x:c r="H82" s="66"/>
      <x:c r="I82" s="66"/>
      <x:c r="J82" s="66"/>
      <x:c r="K82" s="66"/>
      <x:c r="L82" s="66"/>
    </x:row>
    <x:row r="83">
      <x:c r="A83" s="66"/>
      <x:c r="B83" s="66"/>
      <x:c r="C83" s="66"/>
      <x:c r="D83" s="66"/>
      <x:c r="E83" s="66"/>
      <x:c r="F83" s="66"/>
      <x:c r="G83" s="66"/>
      <x:c r="H83" s="66"/>
      <x:c r="I83" s="66"/>
      <x:c r="J83" s="66"/>
      <x:c r="K83" s="66"/>
      <x:c r="L83" s="66"/>
    </x:row>
    <x:row r="84">
      <x:c r="A84" s="66"/>
      <x:c r="B84" s="66"/>
      <x:c r="C84" s="66"/>
      <x:c r="D84" s="66"/>
      <x:c r="E84" s="66"/>
      <x:c r="F84" s="66"/>
      <x:c r="G84" s="66"/>
      <x:c r="H84" s="66"/>
      <x:c r="I84" s="66"/>
      <x:c r="J84" s="66"/>
      <x:c r="K84" s="66"/>
      <x:c r="L84" s="66"/>
    </x:row>
    <x:row r="85">
      <x:c r="A85" s="66"/>
      <x:c r="B85" s="66"/>
      <x:c r="C85" s="66"/>
      <x:c r="D85" s="66"/>
      <x:c r="E85" s="66"/>
      <x:c r="F85" s="66"/>
      <x:c r="G85" s="66"/>
      <x:c r="H85" s="66"/>
      <x:c r="I85" s="66"/>
      <x:c r="J85" s="66"/>
      <x:c r="K85" s="66"/>
      <x:c r="L85" s="66"/>
    </x:row>
    <x:row r="86">
      <x:c r="A86" s="66"/>
      <x:c r="B86" s="66"/>
      <x:c r="C86" s="66"/>
      <x:c r="D86" s="66"/>
      <x:c r="E86" s="66"/>
      <x:c r="F86" s="66"/>
      <x:c r="G86" s="66"/>
      <x:c r="H86" s="66"/>
      <x:c r="I86" s="66"/>
      <x:c r="J86" s="66"/>
      <x:c r="K86" s="66"/>
      <x:c r="L86" s="66"/>
    </x:row>
    <x:row r="87">
      <x:c r="A87" s="66"/>
      <x:c r="B87" s="66"/>
      <x:c r="C87" s="66"/>
      <x:c r="D87" s="66"/>
      <x:c r="E87" s="66"/>
      <x:c r="F87" s="66"/>
      <x:c r="G87" s="66"/>
      <x:c r="H87" s="66"/>
      <x:c r="I87" s="66"/>
      <x:c r="J87" s="66"/>
      <x:c r="K87" s="66"/>
      <x:c r="L87" s="66"/>
    </x:row>
    <x:row r="88">
      <x:c r="A88" s="66"/>
      <x:c r="B88" s="66"/>
      <x:c r="C88" s="66"/>
      <x:c r="D88" s="66"/>
      <x:c r="E88" s="66"/>
      <x:c r="F88" s="66"/>
      <x:c r="G88" s="66"/>
      <x:c r="H88" s="66"/>
      <x:c r="I88" s="66"/>
      <x:c r="J88" s="66"/>
      <x:c r="K88" s="66"/>
      <x:c r="L88" s="66"/>
    </x:row>
    <x:row r="89">
      <x:c r="A89" s="66"/>
      <x:c r="B89" s="66"/>
      <x:c r="C89" s="66"/>
      <x:c r="D89" s="66"/>
      <x:c r="E89" s="66"/>
      <x:c r="F89" s="66"/>
      <x:c r="G89" s="66"/>
      <x:c r="H89" s="66"/>
      <x:c r="I89" s="66"/>
      <x:c r="J89" s="66"/>
      <x:c r="K89" s="66"/>
      <x:c r="L89" s="66"/>
    </x:row>
    <x:row r="90">
      <x:c r="A90" s="66"/>
      <x:c r="B90" s="66"/>
      <x:c r="C90" s="66"/>
      <x:c r="D90" s="66"/>
      <x:c r="E90" s="66"/>
      <x:c r="F90" s="66"/>
      <x:c r="G90" s="66"/>
      <x:c r="H90" s="66"/>
      <x:c r="I90" s="66"/>
      <x:c r="J90" s="66"/>
      <x:c r="K90" s="66"/>
      <x:c r="L90" s="66"/>
    </x:row>
    <x:row r="91">
      <x:c r="A91" s="66"/>
      <x:c r="B91" s="66"/>
      <x:c r="C91" s="66"/>
      <x:c r="D91" s="66"/>
      <x:c r="E91" s="66"/>
      <x:c r="F91" s="66"/>
      <x:c r="G91" s="66"/>
      <x:c r="H91" s="66"/>
      <x:c r="I91" s="66"/>
      <x:c r="J91" s="66"/>
      <x:c r="K91" s="66"/>
      <x:c r="L91" s="66"/>
    </x:row>
    <x:row r="92">
      <x:c r="A92" s="66"/>
      <x:c r="B92" s="66"/>
      <x:c r="C92" s="66"/>
      <x:c r="D92" s="66"/>
      <x:c r="E92" s="66"/>
      <x:c r="F92" s="66"/>
      <x:c r="G92" s="66"/>
      <x:c r="H92" s="66"/>
      <x:c r="I92" s="66"/>
      <x:c r="J92" s="66"/>
      <x:c r="K92" s="66"/>
      <x:c r="L92" s="66"/>
    </x:row>
    <x:row r="93">
      <x:c r="A93" s="66"/>
      <x:c r="B93" s="66"/>
      <x:c r="C93" s="66"/>
      <x:c r="D93" s="66"/>
      <x:c r="E93" s="66"/>
      <x:c r="F93" s="66"/>
      <x:c r="G93" s="66"/>
      <x:c r="H93" s="66"/>
      <x:c r="I93" s="66"/>
      <x:c r="J93" s="66"/>
      <x:c r="K93" s="66"/>
      <x:c r="L93" s="66"/>
    </x:row>
    <x:row r="94">
      <x:c r="A94" s="66"/>
      <x:c r="B94" s="66"/>
      <x:c r="C94" s="66"/>
      <x:c r="D94" s="66"/>
      <x:c r="E94" s="66"/>
      <x:c r="F94" s="66"/>
      <x:c r="G94" s="66"/>
      <x:c r="H94" s="66"/>
      <x:c r="I94" s="66"/>
      <x:c r="J94" s="66"/>
      <x:c r="K94" s="66"/>
      <x:c r="L94" s="66"/>
    </x:row>
    <x:row r="95">
      <x:c r="A95" s="66"/>
      <x:c r="B95" s="66"/>
      <x:c r="C95" s="66"/>
      <x:c r="D95" s="66"/>
      <x:c r="E95" s="66"/>
      <x:c r="F95" s="66"/>
      <x:c r="G95" s="66"/>
      <x:c r="H95" s="66"/>
      <x:c r="I95" s="66"/>
      <x:c r="J95" s="66"/>
      <x:c r="K95" s="66"/>
      <x:c r="L95" s="66"/>
    </x:row>
    <x:row r="96">
      <x:c r="A96" s="66"/>
      <x:c r="B96" s="66"/>
      <x:c r="C96" s="66"/>
      <x:c r="D96" s="66"/>
      <x:c r="E96" s="66"/>
      <x:c r="F96" s="66"/>
      <x:c r="G96" s="66"/>
      <x:c r="H96" s="66"/>
      <x:c r="I96" s="66"/>
      <x:c r="J96" s="66"/>
      <x:c r="K96" s="66"/>
      <x:c r="L96" s="66"/>
    </x:row>
    <x:row r="97">
      <x:c r="A97" s="66"/>
      <x:c r="B97" s="66"/>
      <x:c r="C97" s="66"/>
      <x:c r="D97" s="66"/>
      <x:c r="E97" s="66"/>
      <x:c r="F97" s="66"/>
      <x:c r="G97" s="66"/>
      <x:c r="H97" s="66"/>
      <x:c r="I97" s="66"/>
      <x:c r="J97" s="66"/>
      <x:c r="K97" s="66"/>
      <x:c r="L97" s="66"/>
    </x:row>
    <x:row r="98">
      <x:c r="A98" s="66"/>
      <x:c r="B98" s="66"/>
      <x:c r="C98" s="66"/>
      <x:c r="D98" s="66"/>
      <x:c r="E98" s="66"/>
      <x:c r="F98" s="66"/>
      <x:c r="G98" s="66"/>
      <x:c r="H98" s="66"/>
      <x:c r="I98" s="66"/>
      <x:c r="J98" s="66"/>
      <x:c r="K98" s="66"/>
      <x:c r="L98" s="66"/>
    </x:row>
    <x:row r="99">
      <x:c r="A99" s="66"/>
      <x:c r="B99" s="66"/>
      <x:c r="C99" s="66"/>
      <x:c r="D99" s="66"/>
      <x:c r="E99" s="66"/>
      <x:c r="F99" s="66"/>
      <x:c r="G99" s="66"/>
      <x:c r="H99" s="66"/>
      <x:c r="I99" s="66"/>
      <x:c r="J99" s="66"/>
      <x:c r="K99" s="66"/>
      <x:c r="L99" s="66"/>
    </x:row>
    <x:row r="100">
      <x:c r="A100" s="66"/>
      <x:c r="B100" s="66"/>
      <x:c r="C100" s="66"/>
      <x:c r="D100" s="66"/>
      <x:c r="E100" s="66"/>
      <x:c r="F100" s="66"/>
      <x:c r="G100" s="66"/>
      <x:c r="H100" s="66"/>
      <x:c r="I100" s="66"/>
      <x:c r="J100" s="66"/>
      <x:c r="K100" s="66"/>
      <x:c r="L100" s="66"/>
    </x:row>
    <x:row r="101">
      <x:c r="A101" s="66"/>
      <x:c r="B101" s="66"/>
      <x:c r="C101" s="66"/>
      <x:c r="D101" s="66"/>
      <x:c r="E101" s="66"/>
      <x:c r="F101" s="66"/>
      <x:c r="G101" s="66"/>
      <x:c r="H101" s="66"/>
      <x:c r="I101" s="66"/>
      <x:c r="J101" s="66"/>
      <x:c r="K101" s="66"/>
      <x:c r="L101" s="66"/>
    </x:row>
    <x:row r="102">
      <x:c r="A102" s="66"/>
      <x:c r="B102" s="66"/>
      <x:c r="C102" s="66"/>
      <x:c r="D102" s="66"/>
      <x:c r="E102" s="66"/>
      <x:c r="F102" s="66"/>
      <x:c r="G102" s="66"/>
      <x:c r="H102" s="66"/>
      <x:c r="I102" s="66"/>
      <x:c r="J102" s="66"/>
      <x:c r="K102" s="66"/>
      <x:c r="L102" s="66"/>
    </x:row>
    <x:row r="103">
      <x:c r="A103" s="66"/>
      <x:c r="B103" s="66"/>
      <x:c r="C103" s="66"/>
      <x:c r="D103" s="66"/>
      <x:c r="E103" s="66"/>
      <x:c r="F103" s="66"/>
      <x:c r="G103" s="66"/>
      <x:c r="H103" s="66"/>
      <x:c r="I103" s="66"/>
      <x:c r="J103" s="66"/>
      <x:c r="K103" s="66"/>
      <x:c r="L103" s="66"/>
    </x:row>
    <x:row r="104">
      <x:c r="A104" s="66"/>
      <x:c r="B104" s="66"/>
      <x:c r="C104" s="66"/>
      <x:c r="D104" s="66"/>
      <x:c r="E104" s="66"/>
      <x:c r="F104" s="66"/>
      <x:c r="G104" s="66"/>
      <x:c r="H104" s="66"/>
      <x:c r="I104" s="66"/>
      <x:c r="J104" s="66"/>
      <x:c r="K104" s="66"/>
      <x:c r="L104" s="66"/>
    </x:row>
    <x:row r="105">
      <x:c r="A105" s="66"/>
      <x:c r="B105" s="66"/>
      <x:c r="C105" s="66"/>
      <x:c r="D105" s="66"/>
      <x:c r="E105" s="66"/>
      <x:c r="F105" s="66"/>
      <x:c r="G105" s="66"/>
      <x:c r="H105" s="66"/>
      <x:c r="I105" s="66"/>
      <x:c r="J105" s="66"/>
      <x:c r="K105" s="66"/>
      <x:c r="L105" s="66"/>
    </x:row>
    <x:row r="106">
      <x:c r="A106" s="66"/>
      <x:c r="B106" s="66"/>
      <x:c r="C106" s="66"/>
      <x:c r="D106" s="66"/>
      <x:c r="E106" s="66"/>
      <x:c r="F106" s="66"/>
      <x:c r="G106" s="66"/>
      <x:c r="H106" s="66"/>
      <x:c r="I106" s="66"/>
      <x:c r="J106" s="66"/>
      <x:c r="K106" s="66"/>
      <x:c r="L106" s="66"/>
    </x:row>
    <x:row r="107">
      <x:c r="A107" s="66"/>
      <x:c r="B107" s="66"/>
      <x:c r="C107" s="66"/>
      <x:c r="D107" s="66"/>
      <x:c r="E107" s="66"/>
      <x:c r="F107" s="66"/>
      <x:c r="G107" s="66"/>
      <x:c r="H107" s="66"/>
      <x:c r="I107" s="66"/>
      <x:c r="J107" s="66"/>
      <x:c r="K107" s="66"/>
      <x:c r="L107" s="66"/>
    </x:row>
    <x:row r="108">
      <x:c r="A108" s="66"/>
      <x:c r="B108" s="66"/>
      <x:c r="C108" s="66"/>
      <x:c r="D108" s="66"/>
      <x:c r="E108" s="66"/>
      <x:c r="F108" s="66"/>
      <x:c r="G108" s="66"/>
      <x:c r="H108" s="66"/>
      <x:c r="I108" s="66"/>
      <x:c r="J108" s="66"/>
      <x:c r="K108" s="66"/>
      <x:c r="L108" s="66"/>
    </x:row>
    <x:row r="109">
      <x:c r="A109" s="66"/>
      <x:c r="B109" s="66"/>
      <x:c r="C109" s="66"/>
      <x:c r="D109" s="66"/>
      <x:c r="E109" s="66"/>
      <x:c r="F109" s="66"/>
      <x:c r="G109" s="66"/>
      <x:c r="H109" s="66"/>
      <x:c r="I109" s="66"/>
      <x:c r="J109" s="66"/>
      <x:c r="K109" s="66"/>
      <x:c r="L109" s="66"/>
    </x:row>
    <x:row r="110">
      <x:c r="A110" s="66"/>
      <x:c r="B110" s="66"/>
      <x:c r="C110" s="66"/>
      <x:c r="D110" s="66"/>
      <x:c r="E110" s="66"/>
      <x:c r="F110" s="66"/>
      <x:c r="G110" s="66"/>
      <x:c r="H110" s="66"/>
      <x:c r="I110" s="66"/>
      <x:c r="J110" s="66"/>
      <x:c r="K110" s="66"/>
      <x:c r="L110" s="66"/>
    </x:row>
  </x:sheetData>
  <x:mergeCells>
    <x:mergeCell ref="A1:L1"/>
    <x:mergeCell ref="A2:L2"/>
  </x:mergeCells>
  <x:conditionalFormatting sqref="I6:I110">
    <x:cfRule type="containsText" dxfId="6" priority="1" operator="containsText" text="待"/>
    <x:cfRule type="containsText" dxfId="7" priority="2" operator="containsText" text="有效"/>
    <x:cfRule type="containsText" dxfId="8" priority="3" operator="containsText" text="无效"/>
  </x:conditionalFormatting>
  <x:dataValidations count="4">
    <x:dataValidation type="list" sqref="B6:B110">
      <x:formula1>"US-旗舰店,US-日用店,TH-主店,新增店铺"</x:formula1>
    </x:dataValidation>
    <x:dataValidation type="list" sqref="H6:H110">
      <x:formula1>"T+1,T+3,T+7"</x:formula1>
    </x:dataValidation>
    <x:dataValidation type="list" sqref="I6:I110">
      <x:formula1>"待验证,验证有效,验证无效"</x:formula1>
    </x:dataValidation>
    <x:dataValidation type="list" sqref="K6:K11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92083adf2f47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30" hidden="0" customWidth="1"/>
  </x:cols>
  <x:sheetData>
    <x:row r="1" ht="34" customHeight="1">
      <x:c r="A1" s="35" t="str">
        <x:v>发布趋势｜自营视频数量</x:v>
      </x:c>
      <x:c r="B1" s="36"/>
      <x:c r="C1" s="36"/>
      <x:c r="D1" s="37"/>
    </x:row>
    <x:row r="2" ht="30" customHeight="1">
      <x:c r="A2" s="42" t="str">
        <x:v>按日期、店铺登记自营发布数量；网站可用它绘制每日发布趋势。</x:v>
      </x:c>
      <x:c r="B2" s="43"/>
      <x:c r="C2" s="43"/>
      <x:c r="D2" s="44"/>
    </x:row>
    <x:row r="3" ht="21" customHeight="1">
      <x:c r="A3" s="24"/>
      <x:c r="B3" s="3"/>
      <x:c r="C3" s="3"/>
      <x:c r="D3" s="25"/>
    </x:row>
    <x:row r="4" ht="21" customHeight="1">
      <x:c r="A4" s="24"/>
      <x:c r="B4" s="3"/>
      <x:c r="C4" s="3"/>
      <x:c r="D4" s="25"/>
    </x:row>
    <x:row r="5" ht="30" customHeight="1">
      <x:c r="A5" s="50" t="str">
        <x:v>日期</x:v>
      </x:c>
      <x:c r="B5" s="50" t="str">
        <x:v>店铺</x:v>
      </x:c>
      <x:c r="C5" s="50" t="str">
        <x:v>自营发布数量</x:v>
      </x:c>
      <x:c r="D5" s="50" t="str">
        <x:v>备注</x:v>
      </x:c>
    </x:row>
    <x:row r="6" ht="21" customHeight="1">
      <x:c r="A6" s="59" t="n">
        <x:v>46256</x:v>
      </x:c>
      <x:c r="B6" s="12" t="str">
        <x:v>全部店铺</x:v>
      </x:c>
      <x:c r="C6" s="12" t="n">
        <x:v>18</x:v>
      </x:c>
      <x:c r="D6" s="74" t="str"/>
    </x:row>
    <x:row r="7" ht="21" customHeight="1">
      <x:c r="A7" s="59" t="n">
        <x:v>46257</x:v>
      </x:c>
      <x:c r="B7" s="12" t="str">
        <x:v>全部店铺</x:v>
      </x:c>
      <x:c r="C7" s="12" t="n">
        <x:v>25</x:v>
      </x:c>
      <x:c r="D7" s="74" t="str"/>
    </x:row>
    <x:row r="8" ht="21" customHeight="1">
      <x:c r="A8" s="59" t="n">
        <x:v>46258</x:v>
      </x:c>
      <x:c r="B8" s="12" t="str">
        <x:v>全部店铺</x:v>
      </x:c>
      <x:c r="C8" s="12" t="n">
        <x:v>22</x:v>
      </x:c>
      <x:c r="D8" s="74" t="str"/>
    </x:row>
    <x:row r="9" ht="21" customHeight="1">
      <x:c r="A9" s="59" t="n">
        <x:v>46259</x:v>
      </x:c>
      <x:c r="B9" s="12" t="str">
        <x:v>全部店铺</x:v>
      </x:c>
      <x:c r="C9" s="12" t="n">
        <x:v>31</x:v>
      </x:c>
      <x:c r="D9" s="74" t="str"/>
    </x:row>
    <x:row r="10" ht="21" customHeight="1">
      <x:c r="A10" s="59" t="n">
        <x:v>46260</x:v>
      </x:c>
      <x:c r="B10" s="12" t="str">
        <x:v>全部店铺</x:v>
      </x:c>
      <x:c r="C10" s="12" t="n">
        <x:v>27</x:v>
      </x:c>
      <x:c r="D10" s="74" t="str"/>
    </x:row>
    <x:row r="11" ht="21" customHeight="1">
      <x:c r="A11" s="59" t="n">
        <x:v>46261</x:v>
      </x:c>
      <x:c r="B11" s="12" t="str">
        <x:v>全部店铺</x:v>
      </x:c>
      <x:c r="C11" s="12" t="n">
        <x:v>20</x:v>
      </x:c>
      <x:c r="D11" s="74" t="str"/>
    </x:row>
    <x:row r="12" ht="21" customHeight="1">
      <x:c r="A12" s="62" t="n">
        <x:v>46262</x:v>
      </x:c>
      <x:c r="B12" s="63" t="str">
        <x:v>全部店铺</x:v>
      </x:c>
      <x:c r="C12" s="63" t="n">
        <x:v>32</x:v>
      </x:c>
      <x:c r="D12" s="76" t="str"/>
    </x:row>
    <x:row r="13">
      <x:c r="A13" s="66"/>
      <x:c r="B13" s="66"/>
      <x:c r="C13" s="66"/>
      <x:c r="D13" s="66"/>
    </x:row>
    <x:row r="14">
      <x:c r="A14" s="66"/>
      <x:c r="B14" s="66"/>
      <x:c r="C14" s="66"/>
      <x:c r="D14" s="66"/>
    </x:row>
    <x:row r="15">
      <x:c r="A15" s="66"/>
      <x:c r="B15" s="66"/>
      <x:c r="C15" s="66"/>
      <x:c r="D15" s="66"/>
    </x:row>
    <x:row r="16">
      <x:c r="A16" s="66"/>
      <x:c r="B16" s="66"/>
      <x:c r="C16" s="66"/>
      <x:c r="D16" s="66"/>
    </x:row>
    <x:row r="17">
      <x:c r="A17" s="66"/>
      <x:c r="B17" s="66"/>
      <x:c r="C17" s="66"/>
      <x:c r="D17" s="66"/>
    </x:row>
    <x:row r="18">
      <x:c r="A18" s="66"/>
      <x:c r="B18" s="66"/>
      <x:c r="C18" s="66"/>
      <x:c r="D18" s="66"/>
    </x:row>
    <x:row r="19">
      <x:c r="A19" s="66"/>
      <x:c r="B19" s="66"/>
      <x:c r="C19" s="66"/>
      <x:c r="D19" s="66"/>
    </x:row>
    <x:row r="20">
      <x:c r="A20" s="66"/>
      <x:c r="B20" s="66"/>
      <x:c r="C20" s="66"/>
      <x:c r="D20" s="66"/>
    </x:row>
    <x:row r="21">
      <x:c r="A21" s="66"/>
      <x:c r="B21" s="66"/>
      <x:c r="C21" s="66"/>
      <x:c r="D21" s="66"/>
    </x:row>
    <x:row r="22">
      <x:c r="A22" s="66"/>
      <x:c r="B22" s="66"/>
      <x:c r="C22" s="66"/>
      <x:c r="D22" s="66"/>
    </x:row>
    <x:row r="23">
      <x:c r="A23" s="66"/>
      <x:c r="B23" s="66"/>
      <x:c r="C23" s="66"/>
      <x:c r="D23" s="66"/>
    </x:row>
    <x:row r="24">
      <x:c r="A24" s="66"/>
      <x:c r="B24" s="66"/>
      <x:c r="C24" s="66"/>
      <x:c r="D24" s="66"/>
    </x:row>
    <x:row r="25">
      <x:c r="A25" s="66"/>
      <x:c r="B25" s="66"/>
      <x:c r="C25" s="66"/>
      <x:c r="D25" s="66"/>
    </x:row>
    <x:row r="26">
      <x:c r="A26" s="66"/>
      <x:c r="B26" s="66"/>
      <x:c r="C26" s="66"/>
      <x:c r="D26" s="66"/>
    </x:row>
    <x:row r="27">
      <x:c r="A27" s="66"/>
      <x:c r="B27" s="66"/>
      <x:c r="C27" s="66"/>
      <x:c r="D27" s="66"/>
    </x:row>
    <x:row r="28">
      <x:c r="A28" s="66"/>
      <x:c r="B28" s="66"/>
      <x:c r="C28" s="66"/>
      <x:c r="D28" s="66"/>
    </x:row>
    <x:row r="29">
      <x:c r="A29" s="66"/>
      <x:c r="B29" s="66"/>
      <x:c r="C29" s="66"/>
      <x:c r="D29" s="66"/>
    </x:row>
    <x:row r="30">
      <x:c r="A30" s="66"/>
      <x:c r="B30" s="66"/>
      <x:c r="C30" s="66"/>
      <x:c r="D30" s="66"/>
    </x:row>
    <x:row r="31">
      <x:c r="A31" s="66"/>
      <x:c r="B31" s="66"/>
      <x:c r="C31" s="66"/>
      <x:c r="D31" s="66"/>
    </x:row>
    <x:row r="32">
      <x:c r="A32" s="66"/>
      <x:c r="B32" s="66"/>
      <x:c r="C32" s="66"/>
      <x:c r="D32" s="66"/>
    </x:row>
    <x:row r="33">
      <x:c r="A33" s="66"/>
      <x:c r="B33" s="66"/>
      <x:c r="C33" s="66"/>
      <x:c r="D33" s="66"/>
    </x:row>
    <x:row r="34">
      <x:c r="A34" s="66"/>
      <x:c r="B34" s="66"/>
      <x:c r="C34" s="66"/>
      <x:c r="D34" s="66"/>
    </x:row>
    <x:row r="35">
      <x:c r="A35" s="66"/>
      <x:c r="B35" s="66"/>
      <x:c r="C35" s="66"/>
      <x:c r="D35" s="66"/>
    </x:row>
    <x:row r="36">
      <x:c r="A36" s="66"/>
      <x:c r="B36" s="66"/>
      <x:c r="C36" s="66"/>
      <x:c r="D36" s="66"/>
    </x:row>
    <x:row r="37">
      <x:c r="A37" s="66"/>
      <x:c r="B37" s="66"/>
      <x:c r="C37" s="66"/>
      <x:c r="D37" s="66"/>
    </x:row>
    <x:row r="38">
      <x:c r="A38" s="66"/>
      <x:c r="B38" s="66"/>
      <x:c r="C38" s="66"/>
      <x:c r="D38" s="66"/>
    </x:row>
    <x:row r="39">
      <x:c r="A39" s="66"/>
      <x:c r="B39" s="66"/>
      <x:c r="C39" s="66"/>
      <x:c r="D39" s="66"/>
    </x:row>
    <x:row r="40">
      <x:c r="A40" s="66"/>
      <x:c r="B40" s="66"/>
      <x:c r="C40" s="66"/>
      <x:c r="D40" s="66"/>
    </x:row>
    <x:row r="41">
      <x:c r="A41" s="66"/>
      <x:c r="B41" s="66"/>
      <x:c r="C41" s="66"/>
      <x:c r="D41" s="66"/>
    </x:row>
    <x:row r="42">
      <x:c r="A42" s="66"/>
      <x:c r="B42" s="66"/>
      <x:c r="C42" s="66"/>
      <x:c r="D42" s="66"/>
    </x:row>
    <x:row r="43">
      <x:c r="A43" s="66"/>
      <x:c r="B43" s="66"/>
      <x:c r="C43" s="66"/>
      <x:c r="D43" s="66"/>
    </x:row>
    <x:row r="44">
      <x:c r="A44" s="66"/>
      <x:c r="B44" s="66"/>
      <x:c r="C44" s="66"/>
      <x:c r="D44" s="66"/>
    </x:row>
    <x:row r="45">
      <x:c r="A45" s="66"/>
      <x:c r="B45" s="66"/>
      <x:c r="C45" s="66"/>
      <x:c r="D45" s="66"/>
    </x:row>
    <x:row r="46">
      <x:c r="A46" s="66"/>
      <x:c r="B46" s="66"/>
      <x:c r="C46" s="66"/>
      <x:c r="D46" s="66"/>
    </x:row>
    <x:row r="47">
      <x:c r="A47" s="66"/>
      <x:c r="B47" s="66"/>
      <x:c r="C47" s="66"/>
      <x:c r="D47" s="66"/>
    </x:row>
    <x:row r="48">
      <x:c r="A48" s="66"/>
      <x:c r="B48" s="66"/>
      <x:c r="C48" s="66"/>
      <x:c r="D48" s="66"/>
    </x:row>
    <x:row r="49">
      <x:c r="A49" s="66"/>
      <x:c r="B49" s="66"/>
      <x:c r="C49" s="66"/>
      <x:c r="D49" s="66"/>
    </x:row>
    <x:row r="50">
      <x:c r="A50" s="66"/>
      <x:c r="B50" s="66"/>
      <x:c r="C50" s="66"/>
      <x:c r="D50" s="66"/>
    </x:row>
    <x:row r="51">
      <x:c r="A51" s="66"/>
      <x:c r="B51" s="66"/>
      <x:c r="C51" s="66"/>
      <x:c r="D51" s="66"/>
    </x:row>
    <x:row r="52">
      <x:c r="A52" s="66"/>
      <x:c r="B52" s="66"/>
      <x:c r="C52" s="66"/>
      <x:c r="D52" s="66"/>
    </x:row>
    <x:row r="53">
      <x:c r="A53" s="66"/>
      <x:c r="B53" s="66"/>
      <x:c r="C53" s="66"/>
      <x:c r="D53" s="66"/>
    </x:row>
    <x:row r="54">
      <x:c r="A54" s="66"/>
      <x:c r="B54" s="66"/>
      <x:c r="C54" s="66"/>
      <x:c r="D54" s="66"/>
    </x:row>
    <x:row r="55">
      <x:c r="A55" s="66"/>
      <x:c r="B55" s="66"/>
      <x:c r="C55" s="66"/>
      <x:c r="D55" s="66"/>
    </x:row>
    <x:row r="56">
      <x:c r="A56" s="66"/>
      <x:c r="B56" s="66"/>
      <x:c r="C56" s="66"/>
      <x:c r="D56" s="66"/>
    </x:row>
    <x:row r="57">
      <x:c r="A57" s="66"/>
      <x:c r="B57" s="66"/>
      <x:c r="C57" s="66"/>
      <x:c r="D57" s="66"/>
    </x:row>
    <x:row r="58">
      <x:c r="A58" s="66"/>
      <x:c r="B58" s="66"/>
      <x:c r="C58" s="66"/>
      <x:c r="D58" s="66"/>
    </x:row>
    <x:row r="59">
      <x:c r="A59" s="66"/>
      <x:c r="B59" s="66"/>
      <x:c r="C59" s="66"/>
      <x:c r="D59" s="66"/>
    </x:row>
    <x:row r="60">
      <x:c r="A60" s="66"/>
      <x:c r="B60" s="66"/>
      <x:c r="C60" s="66"/>
      <x:c r="D60" s="66"/>
    </x:row>
    <x:row r="61">
      <x:c r="A61" s="66"/>
      <x:c r="B61" s="66"/>
      <x:c r="C61" s="66"/>
      <x:c r="D61" s="66"/>
    </x:row>
    <x:row r="62">
      <x:c r="A62" s="66"/>
      <x:c r="B62" s="66"/>
      <x:c r="C62" s="66"/>
      <x:c r="D62" s="66"/>
    </x:row>
    <x:row r="63">
      <x:c r="A63" s="66"/>
      <x:c r="B63" s="66"/>
      <x:c r="C63" s="66"/>
      <x:c r="D63" s="66"/>
    </x:row>
    <x:row r="64">
      <x:c r="A64" s="66"/>
      <x:c r="B64" s="66"/>
      <x:c r="C64" s="66"/>
      <x:c r="D64" s="66"/>
    </x:row>
    <x:row r="65">
      <x:c r="A65" s="66"/>
      <x:c r="B65" s="66"/>
      <x:c r="C65" s="66"/>
      <x:c r="D65" s="66"/>
    </x:row>
    <x:row r="66">
      <x:c r="A66" s="66"/>
      <x:c r="B66" s="66"/>
      <x:c r="C66" s="66"/>
      <x:c r="D66" s="66"/>
    </x:row>
    <x:row r="67">
      <x:c r="A67" s="66"/>
      <x:c r="B67" s="66"/>
      <x:c r="C67" s="66"/>
      <x:c r="D67" s="66"/>
    </x:row>
    <x:row r="68">
      <x:c r="A68" s="66"/>
      <x:c r="B68" s="66"/>
      <x:c r="C68" s="66"/>
      <x:c r="D68" s="66"/>
    </x:row>
    <x:row r="69">
      <x:c r="A69" s="66"/>
      <x:c r="B69" s="66"/>
      <x:c r="C69" s="66"/>
      <x:c r="D69" s="66"/>
    </x:row>
    <x:row r="70">
      <x:c r="A70" s="66"/>
      <x:c r="B70" s="66"/>
      <x:c r="C70" s="66"/>
      <x:c r="D70" s="66"/>
    </x:row>
    <x:row r="71">
      <x:c r="A71" s="66"/>
      <x:c r="B71" s="66"/>
      <x:c r="C71" s="66"/>
      <x:c r="D71" s="66"/>
    </x:row>
    <x:row r="72">
      <x:c r="A72" s="66"/>
      <x:c r="B72" s="66"/>
      <x:c r="C72" s="66"/>
      <x:c r="D72" s="66"/>
    </x:row>
    <x:row r="73">
      <x:c r="A73" s="66"/>
      <x:c r="B73" s="66"/>
      <x:c r="C73" s="66"/>
      <x:c r="D73" s="66"/>
    </x:row>
    <x:row r="74">
      <x:c r="A74" s="66"/>
      <x:c r="B74" s="66"/>
      <x:c r="C74" s="66"/>
      <x:c r="D74" s="66"/>
    </x:row>
    <x:row r="75">
      <x:c r="A75" s="66"/>
      <x:c r="B75" s="66"/>
      <x:c r="C75" s="66"/>
      <x:c r="D75" s="66"/>
    </x:row>
    <x:row r="76">
      <x:c r="A76" s="66"/>
      <x:c r="B76" s="66"/>
      <x:c r="C76" s="66"/>
      <x:c r="D76" s="66"/>
    </x:row>
    <x:row r="77">
      <x:c r="A77" s="66"/>
      <x:c r="B77" s="66"/>
      <x:c r="C77" s="66"/>
      <x:c r="D77" s="66"/>
    </x:row>
    <x:row r="78">
      <x:c r="A78" s="66"/>
      <x:c r="B78" s="66"/>
      <x:c r="C78" s="66"/>
      <x:c r="D78" s="66"/>
    </x:row>
    <x:row r="79">
      <x:c r="A79" s="66"/>
      <x:c r="B79" s="66"/>
      <x:c r="C79" s="66"/>
      <x:c r="D79" s="66"/>
    </x:row>
    <x:row r="80">
      <x:c r="A80" s="66"/>
      <x:c r="B80" s="66"/>
      <x:c r="C80" s="66"/>
      <x:c r="D80" s="66"/>
    </x:row>
    <x:row r="81">
      <x:c r="A81" s="66"/>
      <x:c r="B81" s="66"/>
      <x:c r="C81" s="66"/>
      <x:c r="D81" s="66"/>
    </x:row>
    <x:row r="82">
      <x:c r="A82" s="66"/>
      <x:c r="B82" s="66"/>
      <x:c r="C82" s="66"/>
      <x:c r="D82" s="66"/>
    </x:row>
    <x:row r="83">
      <x:c r="A83" s="66"/>
      <x:c r="B83" s="66"/>
      <x:c r="C83" s="66"/>
      <x:c r="D83" s="66"/>
    </x:row>
    <x:row r="84">
      <x:c r="A84" s="66"/>
      <x:c r="B84" s="66"/>
      <x:c r="C84" s="66"/>
      <x:c r="D84" s="66"/>
    </x:row>
    <x:row r="85">
      <x:c r="A85" s="66"/>
      <x:c r="B85" s="66"/>
      <x:c r="C85" s="66"/>
      <x:c r="D85" s="66"/>
    </x:row>
    <x:row r="86">
      <x:c r="A86" s="66"/>
      <x:c r="B86" s="66"/>
      <x:c r="C86" s="66"/>
      <x:c r="D86" s="66"/>
    </x:row>
    <x:row r="87">
      <x:c r="A87" s="66"/>
      <x:c r="B87" s="66"/>
      <x:c r="C87" s="66"/>
      <x:c r="D87" s="66"/>
    </x:row>
    <x:row r="88">
      <x:c r="A88" s="66"/>
      <x:c r="B88" s="66"/>
      <x:c r="C88" s="66"/>
      <x:c r="D88" s="66"/>
    </x:row>
    <x:row r="89">
      <x:c r="A89" s="66"/>
      <x:c r="B89" s="66"/>
      <x:c r="C89" s="66"/>
      <x:c r="D89" s="66"/>
    </x:row>
    <x:row r="90">
      <x:c r="A90" s="66"/>
      <x:c r="B90" s="66"/>
      <x:c r="C90" s="66"/>
      <x:c r="D90" s="66"/>
    </x:row>
    <x:row r="91">
      <x:c r="A91" s="66"/>
      <x:c r="B91" s="66"/>
      <x:c r="C91" s="66"/>
      <x:c r="D91" s="66"/>
    </x:row>
    <x:row r="92">
      <x:c r="A92" s="66"/>
      <x:c r="B92" s="66"/>
      <x:c r="C92" s="66"/>
      <x:c r="D92" s="66"/>
    </x:row>
    <x:row r="93">
      <x:c r="A93" s="66"/>
      <x:c r="B93" s="66"/>
      <x:c r="C93" s="66"/>
      <x:c r="D93" s="66"/>
    </x:row>
    <x:row r="94">
      <x:c r="A94" s="66"/>
      <x:c r="B94" s="66"/>
      <x:c r="C94" s="66"/>
      <x:c r="D94" s="66"/>
    </x:row>
    <x:row r="95">
      <x:c r="A95" s="66"/>
      <x:c r="B95" s="66"/>
      <x:c r="C95" s="66"/>
      <x:c r="D95" s="66"/>
    </x:row>
    <x:row r="96">
      <x:c r="A96" s="66"/>
      <x:c r="B96" s="66"/>
      <x:c r="C96" s="66"/>
      <x:c r="D96" s="66"/>
    </x:row>
    <x:row r="97">
      <x:c r="A97" s="66"/>
      <x:c r="B97" s="66"/>
      <x:c r="C97" s="66"/>
      <x:c r="D97" s="66"/>
    </x:row>
    <x:row r="98">
      <x:c r="A98" s="66"/>
      <x:c r="B98" s="66"/>
      <x:c r="C98" s="66"/>
      <x:c r="D98" s="66"/>
    </x:row>
    <x:row r="99">
      <x:c r="A99" s="66"/>
      <x:c r="B99" s="66"/>
      <x:c r="C99" s="66"/>
      <x:c r="D99" s="66"/>
    </x:row>
    <x:row r="100">
      <x:c r="A100" s="66"/>
      <x:c r="B100" s="66"/>
      <x:c r="C100" s="66"/>
      <x:c r="D100" s="66"/>
    </x:row>
    <x:row r="101">
      <x:c r="A101" s="66"/>
      <x:c r="B101" s="66"/>
      <x:c r="C101" s="66"/>
      <x:c r="D101" s="66"/>
    </x:row>
    <x:row r="102">
      <x:c r="A102" s="66"/>
      <x:c r="B102" s="66"/>
      <x:c r="C102" s="66"/>
      <x:c r="D102" s="66"/>
    </x:row>
    <x:row r="103">
      <x:c r="A103" s="66"/>
      <x:c r="B103" s="66"/>
      <x:c r="C103" s="66"/>
      <x:c r="D103" s="66"/>
    </x:row>
    <x:row r="104">
      <x:c r="A104" s="66"/>
      <x:c r="B104" s="66"/>
      <x:c r="C104" s="66"/>
      <x:c r="D104" s="66"/>
    </x:row>
    <x:row r="105">
      <x:c r="A105" s="66"/>
      <x:c r="B105" s="66"/>
      <x:c r="C105" s="66"/>
      <x:c r="D105" s="66"/>
    </x:row>
    <x:row r="106">
      <x:c r="A106" s="66"/>
      <x:c r="B106" s="66"/>
      <x:c r="C106" s="66"/>
      <x:c r="D106" s="66"/>
    </x:row>
    <x:row r="107">
      <x:c r="A107" s="66"/>
      <x:c r="B107" s="66"/>
      <x:c r="C107" s="66"/>
      <x:c r="D107" s="66"/>
    </x:row>
    <x:row r="108">
      <x:c r="A108" s="66"/>
      <x:c r="B108" s="66"/>
      <x:c r="C108" s="66"/>
      <x:c r="D108" s="66"/>
    </x:row>
    <x:row r="109">
      <x:c r="A109" s="66"/>
      <x:c r="B109" s="66"/>
      <x:c r="C109" s="66"/>
      <x:c r="D109" s="66"/>
    </x:row>
    <x:row r="110">
      <x:c r="A110" s="66"/>
      <x:c r="B110" s="66"/>
      <x:c r="C110" s="66"/>
      <x:c r="D110" s="66"/>
    </x:row>
  </x:sheetData>
  <x:mergeCells>
    <x:mergeCell ref="A1:D1"/>
    <x:mergeCell ref="A2:D2"/>
  </x:mergeCells>
  <x:dataValidations count="1">
    <x:dataValidation type="list" sqref="B6:B110">
      <x:formula1>"全部店铺,US-旗舰店,US-日用店,TH-主店,新增店铺"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1e80c53d8e41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2" hidden="0" customWidth="1"/>
    <x:col min="4" max="4" width="16" hidden="0" customWidth="1"/>
    <x:col min="5" max="5" width="13" hidden="0" customWidth="1"/>
    <x:col min="6" max="6" width="13" hidden="0" customWidth="1"/>
    <x:col min="7" max="7" width="30" hidden="0" customWidth="1"/>
  </x:cols>
  <x:sheetData>
    <x:row r="1" ht="34" customHeight="1">
      <x:c r="A1" s="35" t="str">
        <x:v>BD / 达人｜合作汇总</x:v>
      </x:c>
      <x:c r="B1" s="36"/>
      <x:c r="C1" s="36"/>
      <x:c r="D1" s="36"/>
      <x:c r="E1" s="36"/>
      <x:c r="F1" s="36"/>
      <x:c r="G1" s="37"/>
    </x:row>
    <x:row r="2" ht="30" customHeight="1">
      <x:c r="A2" s="42" t="str">
        <x:v>填报合作中的达人、待跟进、交付视频和履约率。</x:v>
      </x:c>
      <x:c r="B2" s="43"/>
      <x:c r="C2" s="43"/>
      <x:c r="D2" s="43"/>
      <x:c r="E2" s="43"/>
      <x:c r="F2" s="43"/>
      <x:c r="G2" s="44"/>
    </x:row>
    <x:row r="3" ht="21" customHeight="1">
      <x:c r="A3" s="24"/>
      <x:c r="B3" s="3"/>
      <x:c r="C3" s="3"/>
      <x:c r="D3" s="3"/>
      <x:c r="E3" s="3"/>
      <x:c r="F3" s="3"/>
      <x:c r="G3" s="25"/>
    </x:row>
    <x:row r="4" ht="21" customHeight="1">
      <x:c r="A4" s="24"/>
      <x:c r="B4" s="3"/>
      <x:c r="C4" s="3"/>
      <x:c r="D4" s="3"/>
      <x:c r="E4" s="3"/>
      <x:c r="F4" s="3"/>
      <x:c r="G4" s="25"/>
    </x:row>
    <x:row r="5" ht="30" customHeight="1">
      <x:c r="A5" s="50" t="str">
        <x:v>店铺</x:v>
      </x:c>
      <x:c r="B5" s="50" t="str">
        <x:v>合作中达人</x:v>
      </x:c>
      <x:c r="C5" s="50" t="str">
        <x:v>待跟进</x:v>
      </x:c>
      <x:c r="D5" s="50" t="str">
        <x:v>本周交付视频</x:v>
      </x:c>
      <x:c r="E5" s="50" t="str">
        <x:v>履约率(%)</x:v>
      </x:c>
      <x:c r="F5" s="50" t="str">
        <x:v>状态</x:v>
      </x:c>
      <x:c r="G5" s="50" t="str">
        <x:v>备注</x:v>
      </x:c>
    </x:row>
    <x:row r="6" ht="21" customHeight="1">
      <x:c r="A6" s="77" t="str">
        <x:v>全部店铺</x:v>
      </x:c>
      <x:c r="B6" s="63" t="n">
        <x:v>28</x:v>
      </x:c>
      <x:c r="C6" s="63" t="n">
        <x:v>6</x:v>
      </x:c>
      <x:c r="D6" s="63" t="n">
        <x:v>43</x:v>
      </x:c>
      <x:c r="E6" s="78" t="n">
        <x:v>78</x:v>
      </x:c>
      <x:c r="F6" s="63" t="str">
        <x:v>汇总</x:v>
      </x:c>
      <x:c r="G6" s="76" t="str"/>
    </x:row>
    <x:row r="7">
      <x:c r="A7" s="66"/>
      <x:c r="B7" s="66"/>
      <x:c r="C7" s="66"/>
      <x:c r="D7" s="66"/>
      <x:c r="E7" s="66"/>
      <x:c r="F7" s="66"/>
      <x:c r="G7" s="66"/>
    </x:row>
    <x:row r="8">
      <x:c r="A8" s="66"/>
      <x:c r="B8" s="66"/>
      <x:c r="C8" s="66"/>
      <x:c r="D8" s="66"/>
      <x:c r="E8" s="66"/>
      <x:c r="F8" s="66"/>
      <x:c r="G8" s="66"/>
    </x:row>
    <x:row r="9">
      <x:c r="A9" s="66"/>
      <x:c r="B9" s="66"/>
      <x:c r="C9" s="66"/>
      <x:c r="D9" s="66"/>
      <x:c r="E9" s="66"/>
      <x:c r="F9" s="66"/>
      <x:c r="G9" s="66"/>
    </x:row>
    <x:row r="10">
      <x:c r="A10" s="66"/>
      <x:c r="B10" s="66"/>
      <x:c r="C10" s="66"/>
      <x:c r="D10" s="66"/>
      <x:c r="E10" s="66"/>
      <x:c r="F10" s="66"/>
      <x:c r="G10" s="66"/>
    </x:row>
    <x:row r="11">
      <x:c r="A11" s="66"/>
      <x:c r="B11" s="66"/>
      <x:c r="C11" s="66"/>
      <x:c r="D11" s="66"/>
      <x:c r="E11" s="66"/>
      <x:c r="F11" s="66"/>
      <x:c r="G11" s="66"/>
    </x:row>
    <x:row r="12">
      <x:c r="A12" s="66"/>
      <x:c r="B12" s="66"/>
      <x:c r="C12" s="66"/>
      <x:c r="D12" s="66"/>
      <x:c r="E12" s="66"/>
      <x:c r="F12" s="66"/>
      <x:c r="G12" s="66"/>
    </x:row>
    <x:row r="13">
      <x:c r="A13" s="66"/>
      <x:c r="B13" s="66"/>
      <x:c r="C13" s="66"/>
      <x:c r="D13" s="66"/>
      <x:c r="E13" s="66"/>
      <x:c r="F13" s="66"/>
      <x:c r="G13" s="66"/>
    </x:row>
    <x:row r="14">
      <x:c r="A14" s="66"/>
      <x:c r="B14" s="66"/>
      <x:c r="C14" s="66"/>
      <x:c r="D14" s="66"/>
      <x:c r="E14" s="66"/>
      <x:c r="F14" s="66"/>
      <x:c r="G14" s="66"/>
    </x:row>
    <x:row r="15">
      <x:c r="A15" s="66"/>
      <x:c r="B15" s="66"/>
      <x:c r="C15" s="66"/>
      <x:c r="D15" s="66"/>
      <x:c r="E15" s="66"/>
      <x:c r="F15" s="66"/>
      <x:c r="G15" s="66"/>
    </x:row>
    <x:row r="16">
      <x:c r="A16" s="66"/>
      <x:c r="B16" s="66"/>
      <x:c r="C16" s="66"/>
      <x:c r="D16" s="66"/>
      <x:c r="E16" s="66"/>
      <x:c r="F16" s="66"/>
      <x:c r="G16" s="66"/>
    </x:row>
    <x:row r="17">
      <x:c r="A17" s="66"/>
      <x:c r="B17" s="66"/>
      <x:c r="C17" s="66"/>
      <x:c r="D17" s="66"/>
      <x:c r="E17" s="66"/>
      <x:c r="F17" s="66"/>
      <x:c r="G17" s="66"/>
    </x:row>
    <x:row r="18">
      <x:c r="A18" s="66"/>
      <x:c r="B18" s="66"/>
      <x:c r="C18" s="66"/>
      <x:c r="D18" s="66"/>
      <x:c r="E18" s="66"/>
      <x:c r="F18" s="66"/>
      <x:c r="G18" s="66"/>
    </x:row>
    <x:row r="19">
      <x:c r="A19" s="66"/>
      <x:c r="B19" s="66"/>
      <x:c r="C19" s="66"/>
      <x:c r="D19" s="66"/>
      <x:c r="E19" s="66"/>
      <x:c r="F19" s="66"/>
      <x:c r="G19" s="66"/>
    </x:row>
    <x:row r="20">
      <x:c r="A20" s="66"/>
      <x:c r="B20" s="66"/>
      <x:c r="C20" s="66"/>
      <x:c r="D20" s="66"/>
      <x:c r="E20" s="66"/>
      <x:c r="F20" s="66"/>
      <x:c r="G20" s="66"/>
    </x:row>
    <x:row r="21">
      <x:c r="A21" s="66"/>
      <x:c r="B21" s="66"/>
      <x:c r="C21" s="66"/>
      <x:c r="D21" s="66"/>
      <x:c r="E21" s="66"/>
      <x:c r="F21" s="66"/>
      <x:c r="G21" s="66"/>
    </x:row>
    <x:row r="22">
      <x:c r="A22" s="66"/>
      <x:c r="B22" s="66"/>
      <x:c r="C22" s="66"/>
      <x:c r="D22" s="66"/>
      <x:c r="E22" s="66"/>
      <x:c r="F22" s="66"/>
      <x:c r="G22" s="66"/>
    </x:row>
    <x:row r="23">
      <x:c r="A23" s="66"/>
      <x:c r="B23" s="66"/>
      <x:c r="C23" s="66"/>
      <x:c r="D23" s="66"/>
      <x:c r="E23" s="66"/>
      <x:c r="F23" s="66"/>
      <x:c r="G23" s="66"/>
    </x:row>
    <x:row r="24">
      <x:c r="A24" s="66"/>
      <x:c r="B24" s="66"/>
      <x:c r="C24" s="66"/>
      <x:c r="D24" s="66"/>
      <x:c r="E24" s="66"/>
      <x:c r="F24" s="66"/>
      <x:c r="G24" s="66"/>
    </x:row>
    <x:row r="25">
      <x:c r="A25" s="66"/>
      <x:c r="B25" s="66"/>
      <x:c r="C25" s="66"/>
      <x:c r="D25" s="66"/>
      <x:c r="E25" s="66"/>
      <x:c r="F25" s="66"/>
      <x:c r="G25" s="66"/>
    </x:row>
    <x:row r="26">
      <x:c r="A26" s="66"/>
      <x:c r="B26" s="66"/>
      <x:c r="C26" s="66"/>
      <x:c r="D26" s="66"/>
      <x:c r="E26" s="66"/>
      <x:c r="F26" s="66"/>
      <x:c r="G26" s="66"/>
    </x:row>
    <x:row r="27">
      <x:c r="A27" s="66"/>
      <x:c r="B27" s="66"/>
      <x:c r="C27" s="66"/>
      <x:c r="D27" s="66"/>
      <x:c r="E27" s="66"/>
      <x:c r="F27" s="66"/>
      <x:c r="G27" s="66"/>
    </x:row>
    <x:row r="28">
      <x:c r="A28" s="66"/>
      <x:c r="B28" s="66"/>
      <x:c r="C28" s="66"/>
      <x:c r="D28" s="66"/>
      <x:c r="E28" s="66"/>
      <x:c r="F28" s="66"/>
      <x:c r="G28" s="66"/>
    </x:row>
    <x:row r="29">
      <x:c r="A29" s="66"/>
      <x:c r="B29" s="66"/>
      <x:c r="C29" s="66"/>
      <x:c r="D29" s="66"/>
      <x:c r="E29" s="66"/>
      <x:c r="F29" s="66"/>
      <x:c r="G29" s="66"/>
    </x:row>
    <x:row r="30">
      <x:c r="A30" s="66"/>
      <x:c r="B30" s="66"/>
      <x:c r="C30" s="66"/>
      <x:c r="D30" s="66"/>
      <x:c r="E30" s="66"/>
      <x:c r="F30" s="66"/>
      <x:c r="G30" s="66"/>
    </x:row>
    <x:row r="31">
      <x:c r="A31" s="66"/>
      <x:c r="B31" s="66"/>
      <x:c r="C31" s="66"/>
      <x:c r="D31" s="66"/>
      <x:c r="E31" s="66"/>
      <x:c r="F31" s="66"/>
      <x:c r="G31" s="66"/>
    </x:row>
    <x:row r="32">
      <x:c r="A32" s="66"/>
      <x:c r="B32" s="66"/>
      <x:c r="C32" s="66"/>
      <x:c r="D32" s="66"/>
      <x:c r="E32" s="66"/>
      <x:c r="F32" s="66"/>
      <x:c r="G32" s="66"/>
    </x:row>
    <x:row r="33">
      <x:c r="A33" s="66"/>
      <x:c r="B33" s="66"/>
      <x:c r="C33" s="66"/>
      <x:c r="D33" s="66"/>
      <x:c r="E33" s="66"/>
      <x:c r="F33" s="66"/>
      <x:c r="G33" s="66"/>
    </x:row>
    <x:row r="34">
      <x:c r="A34" s="66"/>
      <x:c r="B34" s="66"/>
      <x:c r="C34" s="66"/>
      <x:c r="D34" s="66"/>
      <x:c r="E34" s="66"/>
      <x:c r="F34" s="66"/>
      <x:c r="G34" s="66"/>
    </x:row>
    <x:row r="35">
      <x:c r="A35" s="66"/>
      <x:c r="B35" s="66"/>
      <x:c r="C35" s="66"/>
      <x:c r="D35" s="66"/>
      <x:c r="E35" s="66"/>
      <x:c r="F35" s="66"/>
      <x:c r="G35" s="66"/>
    </x:row>
    <x:row r="36">
      <x:c r="A36" s="66"/>
      <x:c r="B36" s="66"/>
      <x:c r="C36" s="66"/>
      <x:c r="D36" s="66"/>
      <x:c r="E36" s="66"/>
      <x:c r="F36" s="66"/>
      <x:c r="G36" s="66"/>
    </x:row>
    <x:row r="37">
      <x:c r="A37" s="66"/>
      <x:c r="B37" s="66"/>
      <x:c r="C37" s="66"/>
      <x:c r="D37" s="66"/>
      <x:c r="E37" s="66"/>
      <x:c r="F37" s="66"/>
      <x:c r="G37" s="66"/>
    </x:row>
    <x:row r="38">
      <x:c r="A38" s="66"/>
      <x:c r="B38" s="66"/>
      <x:c r="C38" s="66"/>
      <x:c r="D38" s="66"/>
      <x:c r="E38" s="66"/>
      <x:c r="F38" s="66"/>
      <x:c r="G38" s="66"/>
    </x:row>
    <x:row r="39">
      <x:c r="A39" s="66"/>
      <x:c r="B39" s="66"/>
      <x:c r="C39" s="66"/>
      <x:c r="D39" s="66"/>
      <x:c r="E39" s="66"/>
      <x:c r="F39" s="66"/>
      <x:c r="G39" s="66"/>
    </x:row>
    <x:row r="40">
      <x:c r="A40" s="66"/>
      <x:c r="B40" s="66"/>
      <x:c r="C40" s="66"/>
      <x:c r="D40" s="66"/>
      <x:c r="E40" s="66"/>
      <x:c r="F40" s="66"/>
      <x:c r="G40" s="66"/>
    </x:row>
    <x:row r="41">
      <x:c r="A41" s="66"/>
      <x:c r="B41" s="66"/>
      <x:c r="C41" s="66"/>
      <x:c r="D41" s="66"/>
      <x:c r="E41" s="66"/>
      <x:c r="F41" s="66"/>
      <x:c r="G41" s="66"/>
    </x:row>
    <x:row r="42">
      <x:c r="A42" s="66"/>
      <x:c r="B42" s="66"/>
      <x:c r="C42" s="66"/>
      <x:c r="D42" s="66"/>
      <x:c r="E42" s="66"/>
      <x:c r="F42" s="66"/>
      <x:c r="G42" s="66"/>
    </x:row>
    <x:row r="43">
      <x:c r="A43" s="66"/>
      <x:c r="B43" s="66"/>
      <x:c r="C43" s="66"/>
      <x:c r="D43" s="66"/>
      <x:c r="E43" s="66"/>
      <x:c r="F43" s="66"/>
      <x:c r="G43" s="66"/>
    </x:row>
    <x:row r="44">
      <x:c r="A44" s="66"/>
      <x:c r="B44" s="66"/>
      <x:c r="C44" s="66"/>
      <x:c r="D44" s="66"/>
      <x:c r="E44" s="66"/>
      <x:c r="F44" s="66"/>
      <x:c r="G44" s="66"/>
    </x:row>
    <x:row r="45">
      <x:c r="A45" s="66"/>
      <x:c r="B45" s="66"/>
      <x:c r="C45" s="66"/>
      <x:c r="D45" s="66"/>
      <x:c r="E45" s="66"/>
      <x:c r="F45" s="66"/>
      <x:c r="G45" s="66"/>
    </x:row>
    <x:row r="46">
      <x:c r="A46" s="66"/>
      <x:c r="B46" s="66"/>
      <x:c r="C46" s="66"/>
      <x:c r="D46" s="66"/>
      <x:c r="E46" s="66"/>
      <x:c r="F46" s="66"/>
      <x:c r="G46" s="66"/>
    </x:row>
    <x:row r="47">
      <x:c r="A47" s="66"/>
      <x:c r="B47" s="66"/>
      <x:c r="C47" s="66"/>
      <x:c r="D47" s="66"/>
      <x:c r="E47" s="66"/>
      <x:c r="F47" s="66"/>
      <x:c r="G47" s="66"/>
    </x:row>
    <x:row r="48">
      <x:c r="A48" s="66"/>
      <x:c r="B48" s="66"/>
      <x:c r="C48" s="66"/>
      <x:c r="D48" s="66"/>
      <x:c r="E48" s="66"/>
      <x:c r="F48" s="66"/>
      <x:c r="G48" s="66"/>
    </x:row>
    <x:row r="49">
      <x:c r="A49" s="66"/>
      <x:c r="B49" s="66"/>
      <x:c r="C49" s="66"/>
      <x:c r="D49" s="66"/>
      <x:c r="E49" s="66"/>
      <x:c r="F49" s="66"/>
      <x:c r="G49" s="66"/>
    </x:row>
    <x:row r="50">
      <x:c r="A50" s="66"/>
      <x:c r="B50" s="66"/>
      <x:c r="C50" s="66"/>
      <x:c r="D50" s="66"/>
      <x:c r="E50" s="66"/>
      <x:c r="F50" s="66"/>
      <x:c r="G50" s="66"/>
    </x:row>
    <x:row r="51">
      <x:c r="A51" s="66"/>
      <x:c r="B51" s="66"/>
      <x:c r="C51" s="66"/>
      <x:c r="D51" s="66"/>
      <x:c r="E51" s="66"/>
      <x:c r="F51" s="66"/>
      <x:c r="G51" s="66"/>
    </x:row>
    <x:row r="52">
      <x:c r="A52" s="66"/>
      <x:c r="B52" s="66"/>
      <x:c r="C52" s="66"/>
      <x:c r="D52" s="66"/>
      <x:c r="E52" s="66"/>
      <x:c r="F52" s="66"/>
      <x:c r="G52" s="66"/>
    </x:row>
    <x:row r="53">
      <x:c r="A53" s="66"/>
      <x:c r="B53" s="66"/>
      <x:c r="C53" s="66"/>
      <x:c r="D53" s="66"/>
      <x:c r="E53" s="66"/>
      <x:c r="F53" s="66"/>
      <x:c r="G53" s="66"/>
    </x:row>
    <x:row r="54">
      <x:c r="A54" s="66"/>
      <x:c r="B54" s="66"/>
      <x:c r="C54" s="66"/>
      <x:c r="D54" s="66"/>
      <x:c r="E54" s="66"/>
      <x:c r="F54" s="66"/>
      <x:c r="G54" s="66"/>
    </x:row>
    <x:row r="55">
      <x:c r="A55" s="66"/>
      <x:c r="B55" s="66"/>
      <x:c r="C55" s="66"/>
      <x:c r="D55" s="66"/>
      <x:c r="E55" s="66"/>
      <x:c r="F55" s="66"/>
      <x:c r="G55" s="66"/>
    </x:row>
    <x:row r="56">
      <x:c r="A56" s="66"/>
      <x:c r="B56" s="66"/>
      <x:c r="C56" s="66"/>
      <x:c r="D56" s="66"/>
      <x:c r="E56" s="66"/>
      <x:c r="F56" s="66"/>
      <x:c r="G56" s="66"/>
    </x:row>
    <x:row r="57">
      <x:c r="A57" s="66"/>
      <x:c r="B57" s="66"/>
      <x:c r="C57" s="66"/>
      <x:c r="D57" s="66"/>
      <x:c r="E57" s="66"/>
      <x:c r="F57" s="66"/>
      <x:c r="G57" s="66"/>
    </x:row>
    <x:row r="58">
      <x:c r="A58" s="66"/>
      <x:c r="B58" s="66"/>
      <x:c r="C58" s="66"/>
      <x:c r="D58" s="66"/>
      <x:c r="E58" s="66"/>
      <x:c r="F58" s="66"/>
      <x:c r="G58" s="66"/>
    </x:row>
    <x:row r="59">
      <x:c r="A59" s="66"/>
      <x:c r="B59" s="66"/>
      <x:c r="C59" s="66"/>
      <x:c r="D59" s="66"/>
      <x:c r="E59" s="66"/>
      <x:c r="F59" s="66"/>
      <x:c r="G59" s="66"/>
    </x:row>
    <x:row r="60">
      <x:c r="A60" s="66"/>
      <x:c r="B60" s="66"/>
      <x:c r="C60" s="66"/>
      <x:c r="D60" s="66"/>
      <x:c r="E60" s="66"/>
      <x:c r="F60" s="66"/>
      <x:c r="G60" s="66"/>
    </x:row>
    <x:row r="61">
      <x:c r="A61" s="66"/>
      <x:c r="B61" s="66"/>
      <x:c r="C61" s="66"/>
      <x:c r="D61" s="66"/>
      <x:c r="E61" s="66"/>
      <x:c r="F61" s="66"/>
      <x:c r="G61" s="66"/>
    </x:row>
    <x:row r="62">
      <x:c r="A62" s="66"/>
      <x:c r="B62" s="66"/>
      <x:c r="C62" s="66"/>
      <x:c r="D62" s="66"/>
      <x:c r="E62" s="66"/>
      <x:c r="F62" s="66"/>
      <x:c r="G62" s="66"/>
    </x:row>
    <x:row r="63">
      <x:c r="A63" s="66"/>
      <x:c r="B63" s="66"/>
      <x:c r="C63" s="66"/>
      <x:c r="D63" s="66"/>
      <x:c r="E63" s="66"/>
      <x:c r="F63" s="66"/>
      <x:c r="G63" s="66"/>
    </x:row>
    <x:row r="64">
      <x:c r="A64" s="66"/>
      <x:c r="B64" s="66"/>
      <x:c r="C64" s="66"/>
      <x:c r="D64" s="66"/>
      <x:c r="E64" s="66"/>
      <x:c r="F64" s="66"/>
      <x:c r="G64" s="66"/>
    </x:row>
    <x:row r="65">
      <x:c r="A65" s="66"/>
      <x:c r="B65" s="66"/>
      <x:c r="C65" s="66"/>
      <x:c r="D65" s="66"/>
      <x:c r="E65" s="66"/>
      <x:c r="F65" s="66"/>
      <x:c r="G65" s="66"/>
    </x:row>
    <x:row r="66">
      <x:c r="A66" s="66"/>
      <x:c r="B66" s="66"/>
      <x:c r="C66" s="66"/>
      <x:c r="D66" s="66"/>
      <x:c r="E66" s="66"/>
      <x:c r="F66" s="66"/>
      <x:c r="G66" s="66"/>
    </x:row>
    <x:row r="67">
      <x:c r="A67" s="66"/>
      <x:c r="B67" s="66"/>
      <x:c r="C67" s="66"/>
      <x:c r="D67" s="66"/>
      <x:c r="E67" s="66"/>
      <x:c r="F67" s="66"/>
      <x:c r="G67" s="66"/>
    </x:row>
    <x:row r="68">
      <x:c r="A68" s="66"/>
      <x:c r="B68" s="66"/>
      <x:c r="C68" s="66"/>
      <x:c r="D68" s="66"/>
      <x:c r="E68" s="66"/>
      <x:c r="F68" s="66"/>
      <x:c r="G68" s="66"/>
    </x:row>
    <x:row r="69">
      <x:c r="A69" s="66"/>
      <x:c r="B69" s="66"/>
      <x:c r="C69" s="66"/>
      <x:c r="D69" s="66"/>
      <x:c r="E69" s="66"/>
      <x:c r="F69" s="66"/>
      <x:c r="G69" s="66"/>
    </x:row>
    <x:row r="70">
      <x:c r="A70" s="66"/>
      <x:c r="B70" s="66"/>
      <x:c r="C70" s="66"/>
      <x:c r="D70" s="66"/>
      <x:c r="E70" s="66"/>
      <x:c r="F70" s="66"/>
      <x:c r="G70" s="66"/>
    </x:row>
    <x:row r="71">
      <x:c r="A71" s="66"/>
      <x:c r="B71" s="66"/>
      <x:c r="C71" s="66"/>
      <x:c r="D71" s="66"/>
      <x:c r="E71" s="66"/>
      <x:c r="F71" s="66"/>
      <x:c r="G71" s="66"/>
    </x:row>
    <x:row r="72">
      <x:c r="A72" s="66"/>
      <x:c r="B72" s="66"/>
      <x:c r="C72" s="66"/>
      <x:c r="D72" s="66"/>
      <x:c r="E72" s="66"/>
      <x:c r="F72" s="66"/>
      <x:c r="G72" s="66"/>
    </x:row>
    <x:row r="73">
      <x:c r="A73" s="66"/>
      <x:c r="B73" s="66"/>
      <x:c r="C73" s="66"/>
      <x:c r="D73" s="66"/>
      <x:c r="E73" s="66"/>
      <x:c r="F73" s="66"/>
      <x:c r="G73" s="66"/>
    </x:row>
    <x:row r="74">
      <x:c r="A74" s="66"/>
      <x:c r="B74" s="66"/>
      <x:c r="C74" s="66"/>
      <x:c r="D74" s="66"/>
      <x:c r="E74" s="66"/>
      <x:c r="F74" s="66"/>
      <x:c r="G74" s="66"/>
    </x:row>
    <x:row r="75">
      <x:c r="A75" s="66"/>
      <x:c r="B75" s="66"/>
      <x:c r="C75" s="66"/>
      <x:c r="D75" s="66"/>
      <x:c r="E75" s="66"/>
      <x:c r="F75" s="66"/>
      <x:c r="G75" s="66"/>
    </x:row>
    <x:row r="76">
      <x:c r="A76" s="66"/>
      <x:c r="B76" s="66"/>
      <x:c r="C76" s="66"/>
      <x:c r="D76" s="66"/>
      <x:c r="E76" s="66"/>
      <x:c r="F76" s="66"/>
      <x:c r="G76" s="66"/>
    </x:row>
    <x:row r="77">
      <x:c r="A77" s="66"/>
      <x:c r="B77" s="66"/>
      <x:c r="C77" s="66"/>
      <x:c r="D77" s="66"/>
      <x:c r="E77" s="66"/>
      <x:c r="F77" s="66"/>
      <x:c r="G77" s="66"/>
    </x:row>
    <x:row r="78">
      <x:c r="A78" s="66"/>
      <x:c r="B78" s="66"/>
      <x:c r="C78" s="66"/>
      <x:c r="D78" s="66"/>
      <x:c r="E78" s="66"/>
      <x:c r="F78" s="66"/>
      <x:c r="G78" s="66"/>
    </x:row>
    <x:row r="79">
      <x:c r="A79" s="66"/>
      <x:c r="B79" s="66"/>
      <x:c r="C79" s="66"/>
      <x:c r="D79" s="66"/>
      <x:c r="E79" s="66"/>
      <x:c r="F79" s="66"/>
      <x:c r="G79" s="66"/>
    </x:row>
    <x:row r="80">
      <x:c r="A80" s="66"/>
      <x:c r="B80" s="66"/>
      <x:c r="C80" s="66"/>
      <x:c r="D80" s="66"/>
      <x:c r="E80" s="66"/>
      <x:c r="F80" s="66"/>
      <x:c r="G80" s="66"/>
    </x:row>
    <x:row r="81">
      <x:c r="A81" s="66"/>
      <x:c r="B81" s="66"/>
      <x:c r="C81" s="66"/>
      <x:c r="D81" s="66"/>
      <x:c r="E81" s="66"/>
      <x:c r="F81" s="66"/>
      <x:c r="G81" s="66"/>
    </x:row>
    <x:row r="82">
      <x:c r="A82" s="66"/>
      <x:c r="B82" s="66"/>
      <x:c r="C82" s="66"/>
      <x:c r="D82" s="66"/>
      <x:c r="E82" s="66"/>
      <x:c r="F82" s="66"/>
      <x:c r="G82" s="66"/>
    </x:row>
    <x:row r="83">
      <x:c r="A83" s="66"/>
      <x:c r="B83" s="66"/>
      <x:c r="C83" s="66"/>
      <x:c r="D83" s="66"/>
      <x:c r="E83" s="66"/>
      <x:c r="F83" s="66"/>
      <x:c r="G83" s="66"/>
    </x:row>
    <x:row r="84">
      <x:c r="A84" s="66"/>
      <x:c r="B84" s="66"/>
      <x:c r="C84" s="66"/>
      <x:c r="D84" s="66"/>
      <x:c r="E84" s="66"/>
      <x:c r="F84" s="66"/>
      <x:c r="G84" s="66"/>
    </x:row>
    <x:row r="85">
      <x:c r="A85" s="66"/>
      <x:c r="B85" s="66"/>
      <x:c r="C85" s="66"/>
      <x:c r="D85" s="66"/>
      <x:c r="E85" s="66"/>
      <x:c r="F85" s="66"/>
      <x:c r="G85" s="66"/>
    </x:row>
    <x:row r="86">
      <x:c r="A86" s="66"/>
      <x:c r="B86" s="66"/>
      <x:c r="C86" s="66"/>
      <x:c r="D86" s="66"/>
      <x:c r="E86" s="66"/>
      <x:c r="F86" s="66"/>
      <x:c r="G86" s="66"/>
    </x:row>
    <x:row r="87">
      <x:c r="A87" s="66"/>
      <x:c r="B87" s="66"/>
      <x:c r="C87" s="66"/>
      <x:c r="D87" s="66"/>
      <x:c r="E87" s="66"/>
      <x:c r="F87" s="66"/>
      <x:c r="G87" s="66"/>
    </x:row>
    <x:row r="88">
      <x:c r="A88" s="66"/>
      <x:c r="B88" s="66"/>
      <x:c r="C88" s="66"/>
      <x:c r="D88" s="66"/>
      <x:c r="E88" s="66"/>
      <x:c r="F88" s="66"/>
      <x:c r="G88" s="66"/>
    </x:row>
    <x:row r="89">
      <x:c r="A89" s="66"/>
      <x:c r="B89" s="66"/>
      <x:c r="C89" s="66"/>
      <x:c r="D89" s="66"/>
      <x:c r="E89" s="66"/>
      <x:c r="F89" s="66"/>
      <x:c r="G89" s="66"/>
    </x:row>
    <x:row r="90">
      <x:c r="A90" s="66"/>
      <x:c r="B90" s="66"/>
      <x:c r="C90" s="66"/>
      <x:c r="D90" s="66"/>
      <x:c r="E90" s="66"/>
      <x:c r="F90" s="66"/>
      <x:c r="G90" s="66"/>
    </x:row>
    <x:row r="91">
      <x:c r="A91" s="66"/>
      <x:c r="B91" s="66"/>
      <x:c r="C91" s="66"/>
      <x:c r="D91" s="66"/>
      <x:c r="E91" s="66"/>
      <x:c r="F91" s="66"/>
      <x:c r="G91" s="66"/>
    </x:row>
    <x:row r="92">
      <x:c r="A92" s="66"/>
      <x:c r="B92" s="66"/>
      <x:c r="C92" s="66"/>
      <x:c r="D92" s="66"/>
      <x:c r="E92" s="66"/>
      <x:c r="F92" s="66"/>
      <x:c r="G92" s="66"/>
    </x:row>
    <x:row r="93">
      <x:c r="A93" s="66"/>
      <x:c r="B93" s="66"/>
      <x:c r="C93" s="66"/>
      <x:c r="D93" s="66"/>
      <x:c r="E93" s="66"/>
      <x:c r="F93" s="66"/>
      <x:c r="G93" s="66"/>
    </x:row>
    <x:row r="94">
      <x:c r="A94" s="66"/>
      <x:c r="B94" s="66"/>
      <x:c r="C94" s="66"/>
      <x:c r="D94" s="66"/>
      <x:c r="E94" s="66"/>
      <x:c r="F94" s="66"/>
      <x:c r="G94" s="66"/>
    </x:row>
    <x:row r="95">
      <x:c r="A95" s="66"/>
      <x:c r="B95" s="66"/>
      <x:c r="C95" s="66"/>
      <x:c r="D95" s="66"/>
      <x:c r="E95" s="66"/>
      <x:c r="F95" s="66"/>
      <x:c r="G95" s="66"/>
    </x:row>
    <x:row r="96">
      <x:c r="A96" s="66"/>
      <x:c r="B96" s="66"/>
      <x:c r="C96" s="66"/>
      <x:c r="D96" s="66"/>
      <x:c r="E96" s="66"/>
      <x:c r="F96" s="66"/>
      <x:c r="G96" s="66"/>
    </x:row>
    <x:row r="97">
      <x:c r="A97" s="66"/>
      <x:c r="B97" s="66"/>
      <x:c r="C97" s="66"/>
      <x:c r="D97" s="66"/>
      <x:c r="E97" s="66"/>
      <x:c r="F97" s="66"/>
      <x:c r="G97" s="66"/>
    </x:row>
    <x:row r="98">
      <x:c r="A98" s="66"/>
      <x:c r="B98" s="66"/>
      <x:c r="C98" s="66"/>
      <x:c r="D98" s="66"/>
      <x:c r="E98" s="66"/>
      <x:c r="F98" s="66"/>
      <x:c r="G98" s="66"/>
    </x:row>
    <x:row r="99">
      <x:c r="A99" s="66"/>
      <x:c r="B99" s="66"/>
      <x:c r="C99" s="66"/>
      <x:c r="D99" s="66"/>
      <x:c r="E99" s="66"/>
      <x:c r="F99" s="66"/>
      <x:c r="G99" s="66"/>
    </x:row>
    <x:row r="100">
      <x:c r="A100" s="66"/>
      <x:c r="B100" s="66"/>
      <x:c r="C100" s="66"/>
      <x:c r="D100" s="66"/>
      <x:c r="E100" s="66"/>
      <x:c r="F100" s="66"/>
      <x:c r="G100" s="66"/>
    </x:row>
    <x:row r="101">
      <x:c r="A101" s="66"/>
      <x:c r="B101" s="66"/>
      <x:c r="C101" s="66"/>
      <x:c r="D101" s="66"/>
      <x:c r="E101" s="66"/>
      <x:c r="F101" s="66"/>
      <x:c r="G101" s="66"/>
    </x:row>
    <x:row r="102">
      <x:c r="A102" s="66"/>
      <x:c r="B102" s="66"/>
      <x:c r="C102" s="66"/>
      <x:c r="D102" s="66"/>
      <x:c r="E102" s="66"/>
      <x:c r="F102" s="66"/>
      <x:c r="G102" s="66"/>
    </x:row>
    <x:row r="103">
      <x:c r="A103" s="66"/>
      <x:c r="B103" s="66"/>
      <x:c r="C103" s="66"/>
      <x:c r="D103" s="66"/>
      <x:c r="E103" s="66"/>
      <x:c r="F103" s="66"/>
      <x:c r="G103" s="66"/>
    </x:row>
    <x:row r="104">
      <x:c r="A104" s="66"/>
      <x:c r="B104" s="66"/>
      <x:c r="C104" s="66"/>
      <x:c r="D104" s="66"/>
      <x:c r="E104" s="66"/>
      <x:c r="F104" s="66"/>
      <x:c r="G104" s="66"/>
    </x:row>
    <x:row r="105">
      <x:c r="A105" s="66"/>
      <x:c r="B105" s="66"/>
      <x:c r="C105" s="66"/>
      <x:c r="D105" s="66"/>
      <x:c r="E105" s="66"/>
      <x:c r="F105" s="66"/>
      <x:c r="G105" s="66"/>
    </x:row>
    <x:row r="106">
      <x:c r="A106" s="66"/>
      <x:c r="B106" s="66"/>
      <x:c r="C106" s="66"/>
      <x:c r="D106" s="66"/>
      <x:c r="E106" s="66"/>
      <x:c r="F106" s="66"/>
      <x:c r="G106" s="66"/>
    </x:row>
    <x:row r="107">
      <x:c r="A107" s="66"/>
      <x:c r="B107" s="66"/>
      <x:c r="C107" s="66"/>
      <x:c r="D107" s="66"/>
      <x:c r="E107" s="66"/>
      <x:c r="F107" s="66"/>
      <x:c r="G107" s="66"/>
    </x:row>
    <x:row r="108">
      <x:c r="A108" s="66"/>
      <x:c r="B108" s="66"/>
      <x:c r="C108" s="66"/>
      <x:c r="D108" s="66"/>
      <x:c r="E108" s="66"/>
      <x:c r="F108" s="66"/>
      <x:c r="G108" s="66"/>
    </x:row>
    <x:row r="109">
      <x:c r="A109" s="66"/>
      <x:c r="B109" s="66"/>
      <x:c r="C109" s="66"/>
      <x:c r="D109" s="66"/>
      <x:c r="E109" s="66"/>
      <x:c r="F109" s="66"/>
      <x:c r="G109" s="66"/>
    </x:row>
    <x:row r="110">
      <x:c r="A110" s="66"/>
      <x:c r="B110" s="66"/>
      <x:c r="C110" s="66"/>
      <x:c r="D110" s="66"/>
      <x:c r="E110" s="66"/>
      <x:c r="F110" s="66"/>
      <x:c r="G110" s="66"/>
    </x:row>
  </x:sheetData>
  <x:mergeCells>
    <x:mergeCell ref="A1:G1"/>
    <x:mergeCell ref="A2:G2"/>
  </x:mergeCells>
  <x:conditionalFormatting sqref="F6:F110">
    <x:cfRule type="containsText" dxfId="9" priority="1" operator="containsText" text="待"/>
    <x:cfRule type="containsText" dxfId="10" priority="2" operator="containsText" text="有效"/>
    <x:cfRule type="containsText" dxfId="11" priority="3" operator="containsText" text="无效"/>
  </x:conditionalFormatting>
  <x:dataValidations count="2">
    <x:dataValidation type="list" sqref="A6:A110">
      <x:formula1>"全部店铺,US-旗舰店,US-日用店,TH-主店,新增店铺"</x:formula1>
    </x:dataValidation>
    <x:dataValidation type="list" sqref="F6:F110">
      <x:formula1>"正常交付,待跟进,异常"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e65176067743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4" hidden="0" customWidth="1"/>
    <x:col min="4" max="4" width="22" hidden="0" customWidth="1"/>
    <x:col min="5" max="5" width="13" hidden="0" customWidth="1"/>
    <x:col min="6" max="6" width="14" hidden="0" customWidth="1"/>
    <x:col min="7" max="7" width="14" hidden="0" customWidth="1"/>
    <x:col min="8" max="8" width="11" hidden="0" customWidth="1"/>
    <x:col min="9" max="9" width="11" hidden="0" customWidth="1"/>
    <x:col min="10" max="10" width="13" hidden="0" customWidth="1"/>
    <x:col min="11" max="11" width="28" hidden="0" customWidth="1"/>
  </x:cols>
  <x:sheetData>
    <x:row r="1" ht="34" customHeight="1">
      <x:c r="A1" s="35" t="str">
        <x:v>广告计划｜投入与产出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7"/>
    </x:row>
    <x:row r="2" ht="30" customHeight="1">
      <x:c r="A2" s="42" t="str">
        <x:v>将广告计划、花费、曝光和商品ID放在一起，方便运营核对投放结果。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4"/>
    </x:row>
    <x:row r="3" ht="21" customHeight="1">
      <x:c r="A3" s="24"/>
      <x:c r="B3" s="3"/>
      <x:c r="C3" s="3"/>
      <x:c r="D3" s="3"/>
      <x:c r="E3" s="3"/>
      <x:c r="F3" s="3"/>
      <x:c r="G3" s="3"/>
      <x:c r="H3" s="3"/>
      <x:c r="I3" s="3"/>
      <x:c r="J3" s="3"/>
      <x:c r="K3" s="25"/>
    </x:row>
    <x:row r="4" ht="21" customHeight="1">
      <x:c r="A4" s="24"/>
      <x:c r="B4" s="3"/>
      <x:c r="C4" s="3"/>
      <x:c r="D4" s="3"/>
      <x:c r="E4" s="3"/>
      <x:c r="F4" s="3"/>
      <x:c r="G4" s="3"/>
      <x:c r="H4" s="3"/>
      <x:c r="I4" s="3"/>
      <x:c r="J4" s="3"/>
      <x:c r="K4" s="25"/>
    </x:row>
    <x:row r="5" ht="30" customHeight="1">
      <x:c r="A5" s="50" t="str">
        <x:v>日期</x:v>
      </x:c>
      <x:c r="B5" s="50" t="str">
        <x:v>店铺</x:v>
      </x:c>
      <x:c r="C5" s="50" t="str">
        <x:v>计划ID</x:v>
      </x:c>
      <x:c r="D5" s="50" t="str">
        <x:v>广告组</x:v>
      </x:c>
      <x:c r="E5" s="50" t="str">
        <x:v>商品ID</x:v>
      </x:c>
      <x:c r="F5" s="50" t="str">
        <x:v>花费(CNY)</x:v>
      </x:c>
      <x:c r="G5" s="50" t="str">
        <x:v>曝光</x:v>
      </x:c>
      <x:c r="H5" s="50" t="str">
        <x:v>CTR(%)</x:v>
      </x:c>
      <x:c r="I5" s="50" t="str">
        <x:v>CVR(%)</x:v>
      </x:c>
      <x:c r="J5" s="50" t="str">
        <x:v>状态</x:v>
      </x:c>
      <x:c r="K5" s="50" t="str">
        <x:v>备注</x:v>
      </x:c>
    </x:row>
    <x:row r="6" ht="21" customHeight="1">
      <x:c r="A6" s="59" t="n">
        <x:v>46263</x:v>
      </x:c>
      <x:c r="B6" s="12" t="str">
        <x:v>全部店铺</x:v>
      </x:c>
      <x:c r="C6" s="12" t="str">
        <x:v>AD-24081</x:v>
      </x:c>
      <x:c r="D6" s="12" t="str">
        <x:v>US_Top_Summer</x:v>
      </x:c>
      <x:c r="E6" s="12" t="str">
        <x:v>100176</x:v>
      </x:c>
      <x:c r="F6" s="60" t="n">
        <x:v>8420</x:v>
      </x:c>
      <x:c r="G6" s="82" t="n">
        <x:v>221400</x:v>
      </x:c>
      <x:c r="H6" s="82" t="n">
        <x:v>2.8</x:v>
      </x:c>
      <x:c r="I6" s="82"/>
      <x:c r="J6" s="12" t="str">
        <x:v>运行中</x:v>
      </x:c>
      <x:c r="K6" s="74" t="str"/>
    </x:row>
    <x:row r="7" ht="21" customHeight="1">
      <x:c r="A7" s="59" t="n">
        <x:v>46263</x:v>
      </x:c>
      <x:c r="B7" s="12" t="str">
        <x:v>全部店铺</x:v>
      </x:c>
      <x:c r="C7" s="12" t="str">
        <x:v>AD-24076</x:v>
      </x:c>
      <x:c r="D7" s="12" t="str">
        <x:v>US_Test_A</x:v>
      </x:c>
      <x:c r="E7" s="12" t="str">
        <x:v>100238</x:v>
      </x:c>
      <x:c r="F7" s="60" t="n">
        <x:v>5180</x:v>
      </x:c>
      <x:c r="G7" s="82" t="n">
        <x:v>140600</x:v>
      </x:c>
      <x:c r="H7" s="82" t="n">
        <x:v>1.6</x:v>
      </x:c>
      <x:c r="I7" s="82"/>
      <x:c r="J7" s="12" t="str">
        <x:v>需观察</x:v>
      </x:c>
      <x:c r="K7" s="74" t="str"/>
    </x:row>
    <x:row r="8" ht="21" customHeight="1">
      <x:c r="A8" s="62" t="n">
        <x:v>46263</x:v>
      </x:c>
      <x:c r="B8" s="63" t="str">
        <x:v>全部店铺</x:v>
      </x:c>
      <x:c r="C8" s="63" t="str">
        <x:v>AD-24069</x:v>
      </x:c>
      <x:c r="D8" s="63" t="str">
        <x:v>TH_Retarget</x:v>
      </x:c>
      <x:c r="E8" s="63" t="str">
        <x:v>100091</x:v>
      </x:c>
      <x:c r="F8" s="64" t="n">
        <x:v>5040</x:v>
      </x:c>
      <x:c r="G8" s="83" t="n">
        <x:v>124200</x:v>
      </x:c>
      <x:c r="H8" s="83" t="n">
        <x:v>3.1</x:v>
      </x:c>
      <x:c r="I8" s="83"/>
      <x:c r="J8" s="63" t="str">
        <x:v>待归因</x:v>
      </x:c>
      <x:c r="K8" s="76" t="str"/>
    </x:row>
    <x:row r="9">
      <x:c r="A9" s="66"/>
      <x:c r="B9" s="66"/>
      <x:c r="C9" s="66"/>
      <x:c r="D9" s="66"/>
      <x:c r="E9" s="66"/>
      <x:c r="F9" s="67"/>
      <x:c r="G9" s="84"/>
      <x:c r="H9" s="84"/>
      <x:c r="I9" s="84"/>
      <x:c r="J9" s="66"/>
      <x:c r="K9" s="66"/>
    </x:row>
    <x:row r="10">
      <x:c r="A10" s="66"/>
      <x:c r="B10" s="66"/>
      <x:c r="C10" s="66"/>
      <x:c r="D10" s="66"/>
      <x:c r="E10" s="66"/>
      <x:c r="F10" s="67"/>
      <x:c r="G10" s="84"/>
      <x:c r="H10" s="84"/>
      <x:c r="I10" s="84"/>
      <x:c r="J10" s="66"/>
      <x:c r="K10" s="66"/>
    </x:row>
    <x:row r="11">
      <x:c r="A11" s="66"/>
      <x:c r="B11" s="66"/>
      <x:c r="C11" s="66"/>
      <x:c r="D11" s="66"/>
      <x:c r="E11" s="66"/>
      <x:c r="F11" s="67"/>
      <x:c r="G11" s="84"/>
      <x:c r="H11" s="84"/>
      <x:c r="I11" s="84"/>
      <x:c r="J11" s="66"/>
      <x:c r="K11" s="66"/>
    </x:row>
    <x:row r="12">
      <x:c r="A12" s="66"/>
      <x:c r="B12" s="66"/>
      <x:c r="C12" s="66"/>
      <x:c r="D12" s="66"/>
      <x:c r="E12" s="66"/>
      <x:c r="F12" s="67"/>
      <x:c r="G12" s="84"/>
      <x:c r="H12" s="84"/>
      <x:c r="I12" s="84"/>
      <x:c r="J12" s="66"/>
      <x:c r="K12" s="66"/>
    </x:row>
    <x:row r="13">
      <x:c r="A13" s="66"/>
      <x:c r="B13" s="66"/>
      <x:c r="C13" s="66"/>
      <x:c r="D13" s="66"/>
      <x:c r="E13" s="66"/>
      <x:c r="F13" s="67"/>
      <x:c r="G13" s="84"/>
      <x:c r="H13" s="84"/>
      <x:c r="I13" s="84"/>
      <x:c r="J13" s="66"/>
      <x:c r="K13" s="66"/>
    </x:row>
    <x:row r="14">
      <x:c r="A14" s="66"/>
      <x:c r="B14" s="66"/>
      <x:c r="C14" s="66"/>
      <x:c r="D14" s="66"/>
      <x:c r="E14" s="66"/>
      <x:c r="F14" s="67"/>
      <x:c r="G14" s="84"/>
      <x:c r="H14" s="84"/>
      <x:c r="I14" s="84"/>
      <x:c r="J14" s="66"/>
      <x:c r="K14" s="66"/>
    </x:row>
    <x:row r="15">
      <x:c r="A15" s="66"/>
      <x:c r="B15" s="66"/>
      <x:c r="C15" s="66"/>
      <x:c r="D15" s="66"/>
      <x:c r="E15" s="66"/>
      <x:c r="F15" s="67"/>
      <x:c r="G15" s="84"/>
      <x:c r="H15" s="84"/>
      <x:c r="I15" s="84"/>
      <x:c r="J15" s="66"/>
      <x:c r="K15" s="66"/>
    </x:row>
    <x:row r="16">
      <x:c r="A16" s="66"/>
      <x:c r="B16" s="66"/>
      <x:c r="C16" s="66"/>
      <x:c r="D16" s="66"/>
      <x:c r="E16" s="66"/>
      <x:c r="F16" s="67"/>
      <x:c r="G16" s="84"/>
      <x:c r="H16" s="84"/>
      <x:c r="I16" s="84"/>
      <x:c r="J16" s="66"/>
      <x:c r="K16" s="66"/>
    </x:row>
    <x:row r="17">
      <x:c r="A17" s="66"/>
      <x:c r="B17" s="66"/>
      <x:c r="C17" s="66"/>
      <x:c r="D17" s="66"/>
      <x:c r="E17" s="66"/>
      <x:c r="F17" s="67"/>
      <x:c r="G17" s="84"/>
      <x:c r="H17" s="84"/>
      <x:c r="I17" s="84"/>
      <x:c r="J17" s="66"/>
      <x:c r="K17" s="66"/>
    </x:row>
    <x:row r="18">
      <x:c r="A18" s="66"/>
      <x:c r="B18" s="66"/>
      <x:c r="C18" s="66"/>
      <x:c r="D18" s="66"/>
      <x:c r="E18" s="66"/>
      <x:c r="F18" s="67"/>
      <x:c r="G18" s="84"/>
      <x:c r="H18" s="84"/>
      <x:c r="I18" s="84"/>
      <x:c r="J18" s="66"/>
      <x:c r="K18" s="66"/>
    </x:row>
    <x:row r="19">
      <x:c r="A19" s="66"/>
      <x:c r="B19" s="66"/>
      <x:c r="C19" s="66"/>
      <x:c r="D19" s="66"/>
      <x:c r="E19" s="66"/>
      <x:c r="F19" s="67"/>
      <x:c r="G19" s="84"/>
      <x:c r="H19" s="84"/>
      <x:c r="I19" s="84"/>
      <x:c r="J19" s="66"/>
      <x:c r="K19" s="66"/>
    </x:row>
    <x:row r="20">
      <x:c r="A20" s="66"/>
      <x:c r="B20" s="66"/>
      <x:c r="C20" s="66"/>
      <x:c r="D20" s="66"/>
      <x:c r="E20" s="66"/>
      <x:c r="F20" s="67"/>
      <x:c r="G20" s="84"/>
      <x:c r="H20" s="84"/>
      <x:c r="I20" s="84"/>
      <x:c r="J20" s="66"/>
      <x:c r="K20" s="66"/>
    </x:row>
    <x:row r="21">
      <x:c r="A21" s="66"/>
      <x:c r="B21" s="66"/>
      <x:c r="C21" s="66"/>
      <x:c r="D21" s="66"/>
      <x:c r="E21" s="66"/>
      <x:c r="F21" s="67"/>
      <x:c r="G21" s="84"/>
      <x:c r="H21" s="84"/>
      <x:c r="I21" s="84"/>
      <x:c r="J21" s="66"/>
      <x:c r="K21" s="66"/>
    </x:row>
    <x:row r="22">
      <x:c r="A22" s="66"/>
      <x:c r="B22" s="66"/>
      <x:c r="C22" s="66"/>
      <x:c r="D22" s="66"/>
      <x:c r="E22" s="66"/>
      <x:c r="F22" s="67"/>
      <x:c r="G22" s="84"/>
      <x:c r="H22" s="84"/>
      <x:c r="I22" s="84"/>
      <x:c r="J22" s="66"/>
      <x:c r="K22" s="66"/>
    </x:row>
    <x:row r="23">
      <x:c r="A23" s="66"/>
      <x:c r="B23" s="66"/>
      <x:c r="C23" s="66"/>
      <x:c r="D23" s="66"/>
      <x:c r="E23" s="66"/>
      <x:c r="F23" s="67"/>
      <x:c r="G23" s="84"/>
      <x:c r="H23" s="84"/>
      <x:c r="I23" s="84"/>
      <x:c r="J23" s="66"/>
      <x:c r="K23" s="66"/>
    </x:row>
    <x:row r="24">
      <x:c r="A24" s="66"/>
      <x:c r="B24" s="66"/>
      <x:c r="C24" s="66"/>
      <x:c r="D24" s="66"/>
      <x:c r="E24" s="66"/>
      <x:c r="F24" s="67"/>
      <x:c r="G24" s="84"/>
      <x:c r="H24" s="84"/>
      <x:c r="I24" s="84"/>
      <x:c r="J24" s="66"/>
      <x:c r="K24" s="66"/>
    </x:row>
    <x:row r="25">
      <x:c r="A25" s="66"/>
      <x:c r="B25" s="66"/>
      <x:c r="C25" s="66"/>
      <x:c r="D25" s="66"/>
      <x:c r="E25" s="66"/>
      <x:c r="F25" s="67"/>
      <x:c r="G25" s="84"/>
      <x:c r="H25" s="84"/>
      <x:c r="I25" s="84"/>
      <x:c r="J25" s="66"/>
      <x:c r="K25" s="66"/>
    </x:row>
    <x:row r="26">
      <x:c r="A26" s="66"/>
      <x:c r="B26" s="66"/>
      <x:c r="C26" s="66"/>
      <x:c r="D26" s="66"/>
      <x:c r="E26" s="66"/>
      <x:c r="F26" s="67"/>
      <x:c r="G26" s="84"/>
      <x:c r="H26" s="84"/>
      <x:c r="I26" s="84"/>
      <x:c r="J26" s="66"/>
      <x:c r="K26" s="66"/>
    </x:row>
    <x:row r="27">
      <x:c r="A27" s="66"/>
      <x:c r="B27" s="66"/>
      <x:c r="C27" s="66"/>
      <x:c r="D27" s="66"/>
      <x:c r="E27" s="66"/>
      <x:c r="F27" s="67"/>
      <x:c r="G27" s="84"/>
      <x:c r="H27" s="84"/>
      <x:c r="I27" s="84"/>
      <x:c r="J27" s="66"/>
      <x:c r="K27" s="66"/>
    </x:row>
    <x:row r="28">
      <x:c r="A28" s="66"/>
      <x:c r="B28" s="66"/>
      <x:c r="C28" s="66"/>
      <x:c r="D28" s="66"/>
      <x:c r="E28" s="66"/>
      <x:c r="F28" s="67"/>
      <x:c r="G28" s="84"/>
      <x:c r="H28" s="84"/>
      <x:c r="I28" s="84"/>
      <x:c r="J28" s="66"/>
      <x:c r="K28" s="66"/>
    </x:row>
    <x:row r="29">
      <x:c r="A29" s="66"/>
      <x:c r="B29" s="66"/>
      <x:c r="C29" s="66"/>
      <x:c r="D29" s="66"/>
      <x:c r="E29" s="66"/>
      <x:c r="F29" s="67"/>
      <x:c r="G29" s="84"/>
      <x:c r="H29" s="84"/>
      <x:c r="I29" s="84"/>
      <x:c r="J29" s="66"/>
      <x:c r="K29" s="66"/>
    </x:row>
    <x:row r="30">
      <x:c r="A30" s="66"/>
      <x:c r="B30" s="66"/>
      <x:c r="C30" s="66"/>
      <x:c r="D30" s="66"/>
      <x:c r="E30" s="66"/>
      <x:c r="F30" s="67"/>
      <x:c r="G30" s="84"/>
      <x:c r="H30" s="84"/>
      <x:c r="I30" s="84"/>
      <x:c r="J30" s="66"/>
      <x:c r="K30" s="66"/>
    </x:row>
    <x:row r="31">
      <x:c r="A31" s="66"/>
      <x:c r="B31" s="66"/>
      <x:c r="C31" s="66"/>
      <x:c r="D31" s="66"/>
      <x:c r="E31" s="66"/>
      <x:c r="F31" s="67"/>
      <x:c r="G31" s="84"/>
      <x:c r="H31" s="84"/>
      <x:c r="I31" s="84"/>
      <x:c r="J31" s="66"/>
      <x:c r="K31" s="66"/>
    </x:row>
    <x:row r="32">
      <x:c r="A32" s="66"/>
      <x:c r="B32" s="66"/>
      <x:c r="C32" s="66"/>
      <x:c r="D32" s="66"/>
      <x:c r="E32" s="66"/>
      <x:c r="F32" s="67"/>
      <x:c r="G32" s="84"/>
      <x:c r="H32" s="84"/>
      <x:c r="I32" s="84"/>
      <x:c r="J32" s="66"/>
      <x:c r="K32" s="66"/>
    </x:row>
    <x:row r="33">
      <x:c r="A33" s="66"/>
      <x:c r="B33" s="66"/>
      <x:c r="C33" s="66"/>
      <x:c r="D33" s="66"/>
      <x:c r="E33" s="66"/>
      <x:c r="F33" s="67"/>
      <x:c r="G33" s="84"/>
      <x:c r="H33" s="84"/>
      <x:c r="I33" s="84"/>
      <x:c r="J33" s="66"/>
      <x:c r="K33" s="66"/>
    </x:row>
    <x:row r="34">
      <x:c r="A34" s="66"/>
      <x:c r="B34" s="66"/>
      <x:c r="C34" s="66"/>
      <x:c r="D34" s="66"/>
      <x:c r="E34" s="66"/>
      <x:c r="F34" s="67"/>
      <x:c r="G34" s="84"/>
      <x:c r="H34" s="84"/>
      <x:c r="I34" s="84"/>
      <x:c r="J34" s="66"/>
      <x:c r="K34" s="66"/>
    </x:row>
    <x:row r="35">
      <x:c r="A35" s="66"/>
      <x:c r="B35" s="66"/>
      <x:c r="C35" s="66"/>
      <x:c r="D35" s="66"/>
      <x:c r="E35" s="66"/>
      <x:c r="F35" s="67"/>
      <x:c r="G35" s="84"/>
      <x:c r="H35" s="84"/>
      <x:c r="I35" s="84"/>
      <x:c r="J35" s="66"/>
      <x:c r="K35" s="66"/>
    </x:row>
    <x:row r="36">
      <x:c r="A36" s="66"/>
      <x:c r="B36" s="66"/>
      <x:c r="C36" s="66"/>
      <x:c r="D36" s="66"/>
      <x:c r="E36" s="66"/>
      <x:c r="F36" s="67"/>
      <x:c r="G36" s="84"/>
      <x:c r="H36" s="84"/>
      <x:c r="I36" s="84"/>
      <x:c r="J36" s="66"/>
      <x:c r="K36" s="66"/>
    </x:row>
    <x:row r="37">
      <x:c r="A37" s="66"/>
      <x:c r="B37" s="66"/>
      <x:c r="C37" s="66"/>
      <x:c r="D37" s="66"/>
      <x:c r="E37" s="66"/>
      <x:c r="F37" s="67"/>
      <x:c r="G37" s="84"/>
      <x:c r="H37" s="84"/>
      <x:c r="I37" s="84"/>
      <x:c r="J37" s="66"/>
      <x:c r="K37" s="66"/>
    </x:row>
    <x:row r="38">
      <x:c r="A38" s="66"/>
      <x:c r="B38" s="66"/>
      <x:c r="C38" s="66"/>
      <x:c r="D38" s="66"/>
      <x:c r="E38" s="66"/>
      <x:c r="F38" s="67"/>
      <x:c r="G38" s="84"/>
      <x:c r="H38" s="84"/>
      <x:c r="I38" s="84"/>
      <x:c r="J38" s="66"/>
      <x:c r="K38" s="66"/>
    </x:row>
    <x:row r="39">
      <x:c r="A39" s="66"/>
      <x:c r="B39" s="66"/>
      <x:c r="C39" s="66"/>
      <x:c r="D39" s="66"/>
      <x:c r="E39" s="66"/>
      <x:c r="F39" s="67"/>
      <x:c r="G39" s="84"/>
      <x:c r="H39" s="84"/>
      <x:c r="I39" s="84"/>
      <x:c r="J39" s="66"/>
      <x:c r="K39" s="66"/>
    </x:row>
    <x:row r="40">
      <x:c r="A40" s="66"/>
      <x:c r="B40" s="66"/>
      <x:c r="C40" s="66"/>
      <x:c r="D40" s="66"/>
      <x:c r="E40" s="66"/>
      <x:c r="F40" s="67"/>
      <x:c r="G40" s="84"/>
      <x:c r="H40" s="84"/>
      <x:c r="I40" s="84"/>
      <x:c r="J40" s="66"/>
      <x:c r="K40" s="66"/>
    </x:row>
    <x:row r="41">
      <x:c r="A41" s="66"/>
      <x:c r="B41" s="66"/>
      <x:c r="C41" s="66"/>
      <x:c r="D41" s="66"/>
      <x:c r="E41" s="66"/>
      <x:c r="F41" s="67"/>
      <x:c r="G41" s="84"/>
      <x:c r="H41" s="84"/>
      <x:c r="I41" s="84"/>
      <x:c r="J41" s="66"/>
      <x:c r="K41" s="66"/>
    </x:row>
    <x:row r="42">
      <x:c r="A42" s="66"/>
      <x:c r="B42" s="66"/>
      <x:c r="C42" s="66"/>
      <x:c r="D42" s="66"/>
      <x:c r="E42" s="66"/>
      <x:c r="F42" s="67"/>
      <x:c r="G42" s="84"/>
      <x:c r="H42" s="84"/>
      <x:c r="I42" s="84"/>
      <x:c r="J42" s="66"/>
      <x:c r="K42" s="66"/>
    </x:row>
    <x:row r="43">
      <x:c r="A43" s="66"/>
      <x:c r="B43" s="66"/>
      <x:c r="C43" s="66"/>
      <x:c r="D43" s="66"/>
      <x:c r="E43" s="66"/>
      <x:c r="F43" s="67"/>
      <x:c r="G43" s="84"/>
      <x:c r="H43" s="84"/>
      <x:c r="I43" s="84"/>
      <x:c r="J43" s="66"/>
      <x:c r="K43" s="66"/>
    </x:row>
    <x:row r="44">
      <x:c r="A44" s="66"/>
      <x:c r="B44" s="66"/>
      <x:c r="C44" s="66"/>
      <x:c r="D44" s="66"/>
      <x:c r="E44" s="66"/>
      <x:c r="F44" s="67"/>
      <x:c r="G44" s="84"/>
      <x:c r="H44" s="84"/>
      <x:c r="I44" s="84"/>
      <x:c r="J44" s="66"/>
      <x:c r="K44" s="66"/>
    </x:row>
    <x:row r="45">
      <x:c r="A45" s="66"/>
      <x:c r="B45" s="66"/>
      <x:c r="C45" s="66"/>
      <x:c r="D45" s="66"/>
      <x:c r="E45" s="66"/>
      <x:c r="F45" s="67"/>
      <x:c r="G45" s="84"/>
      <x:c r="H45" s="84"/>
      <x:c r="I45" s="84"/>
      <x:c r="J45" s="66"/>
      <x:c r="K45" s="66"/>
    </x:row>
    <x:row r="46">
      <x:c r="A46" s="66"/>
      <x:c r="B46" s="66"/>
      <x:c r="C46" s="66"/>
      <x:c r="D46" s="66"/>
      <x:c r="E46" s="66"/>
      <x:c r="F46" s="67"/>
      <x:c r="G46" s="84"/>
      <x:c r="H46" s="84"/>
      <x:c r="I46" s="84"/>
      <x:c r="J46" s="66"/>
      <x:c r="K46" s="66"/>
    </x:row>
    <x:row r="47">
      <x:c r="A47" s="66"/>
      <x:c r="B47" s="66"/>
      <x:c r="C47" s="66"/>
      <x:c r="D47" s="66"/>
      <x:c r="E47" s="66"/>
      <x:c r="F47" s="67"/>
      <x:c r="G47" s="84"/>
      <x:c r="H47" s="84"/>
      <x:c r="I47" s="84"/>
      <x:c r="J47" s="66"/>
      <x:c r="K47" s="66"/>
    </x:row>
    <x:row r="48">
      <x:c r="A48" s="66"/>
      <x:c r="B48" s="66"/>
      <x:c r="C48" s="66"/>
      <x:c r="D48" s="66"/>
      <x:c r="E48" s="66"/>
      <x:c r="F48" s="67"/>
      <x:c r="G48" s="84"/>
      <x:c r="H48" s="84"/>
      <x:c r="I48" s="84"/>
      <x:c r="J48" s="66"/>
      <x:c r="K48" s="66"/>
    </x:row>
    <x:row r="49">
      <x:c r="A49" s="66"/>
      <x:c r="B49" s="66"/>
      <x:c r="C49" s="66"/>
      <x:c r="D49" s="66"/>
      <x:c r="E49" s="66"/>
      <x:c r="F49" s="67"/>
      <x:c r="G49" s="84"/>
      <x:c r="H49" s="84"/>
      <x:c r="I49" s="84"/>
      <x:c r="J49" s="66"/>
      <x:c r="K49" s="66"/>
    </x:row>
    <x:row r="50">
      <x:c r="A50" s="66"/>
      <x:c r="B50" s="66"/>
      <x:c r="C50" s="66"/>
      <x:c r="D50" s="66"/>
      <x:c r="E50" s="66"/>
      <x:c r="F50" s="67"/>
      <x:c r="G50" s="84"/>
      <x:c r="H50" s="84"/>
      <x:c r="I50" s="84"/>
      <x:c r="J50" s="66"/>
      <x:c r="K50" s="66"/>
    </x:row>
    <x:row r="51">
      <x:c r="A51" s="66"/>
      <x:c r="B51" s="66"/>
      <x:c r="C51" s="66"/>
      <x:c r="D51" s="66"/>
      <x:c r="E51" s="66"/>
      <x:c r="F51" s="67"/>
      <x:c r="G51" s="84"/>
      <x:c r="H51" s="84"/>
      <x:c r="I51" s="84"/>
      <x:c r="J51" s="66"/>
      <x:c r="K51" s="66"/>
    </x:row>
    <x:row r="52">
      <x:c r="A52" s="66"/>
      <x:c r="B52" s="66"/>
      <x:c r="C52" s="66"/>
      <x:c r="D52" s="66"/>
      <x:c r="E52" s="66"/>
      <x:c r="F52" s="67"/>
      <x:c r="G52" s="84"/>
      <x:c r="H52" s="84"/>
      <x:c r="I52" s="84"/>
      <x:c r="J52" s="66"/>
      <x:c r="K52" s="66"/>
    </x:row>
    <x:row r="53">
      <x:c r="A53" s="66"/>
      <x:c r="B53" s="66"/>
      <x:c r="C53" s="66"/>
      <x:c r="D53" s="66"/>
      <x:c r="E53" s="66"/>
      <x:c r="F53" s="67"/>
      <x:c r="G53" s="84"/>
      <x:c r="H53" s="84"/>
      <x:c r="I53" s="84"/>
      <x:c r="J53" s="66"/>
      <x:c r="K53" s="66"/>
    </x:row>
    <x:row r="54">
      <x:c r="A54" s="66"/>
      <x:c r="B54" s="66"/>
      <x:c r="C54" s="66"/>
      <x:c r="D54" s="66"/>
      <x:c r="E54" s="66"/>
      <x:c r="F54" s="67"/>
      <x:c r="G54" s="84"/>
      <x:c r="H54" s="84"/>
      <x:c r="I54" s="84"/>
      <x:c r="J54" s="66"/>
      <x:c r="K54" s="66"/>
    </x:row>
    <x:row r="55">
      <x:c r="A55" s="66"/>
      <x:c r="B55" s="66"/>
      <x:c r="C55" s="66"/>
      <x:c r="D55" s="66"/>
      <x:c r="E55" s="66"/>
      <x:c r="F55" s="67"/>
      <x:c r="G55" s="84"/>
      <x:c r="H55" s="84"/>
      <x:c r="I55" s="84"/>
      <x:c r="J55" s="66"/>
      <x:c r="K55" s="66"/>
    </x:row>
    <x:row r="56">
      <x:c r="A56" s="66"/>
      <x:c r="B56" s="66"/>
      <x:c r="C56" s="66"/>
      <x:c r="D56" s="66"/>
      <x:c r="E56" s="66"/>
      <x:c r="F56" s="67"/>
      <x:c r="G56" s="84"/>
      <x:c r="H56" s="84"/>
      <x:c r="I56" s="84"/>
      <x:c r="J56" s="66"/>
      <x:c r="K56" s="66"/>
    </x:row>
    <x:row r="57">
      <x:c r="A57" s="66"/>
      <x:c r="B57" s="66"/>
      <x:c r="C57" s="66"/>
      <x:c r="D57" s="66"/>
      <x:c r="E57" s="66"/>
      <x:c r="F57" s="67"/>
      <x:c r="G57" s="84"/>
      <x:c r="H57" s="84"/>
      <x:c r="I57" s="84"/>
      <x:c r="J57" s="66"/>
      <x:c r="K57" s="66"/>
    </x:row>
    <x:row r="58">
      <x:c r="A58" s="66"/>
      <x:c r="B58" s="66"/>
      <x:c r="C58" s="66"/>
      <x:c r="D58" s="66"/>
      <x:c r="E58" s="66"/>
      <x:c r="F58" s="67"/>
      <x:c r="G58" s="84"/>
      <x:c r="H58" s="84"/>
      <x:c r="I58" s="84"/>
      <x:c r="J58" s="66"/>
      <x:c r="K58" s="66"/>
    </x:row>
    <x:row r="59">
      <x:c r="A59" s="66"/>
      <x:c r="B59" s="66"/>
      <x:c r="C59" s="66"/>
      <x:c r="D59" s="66"/>
      <x:c r="E59" s="66"/>
      <x:c r="F59" s="67"/>
      <x:c r="G59" s="84"/>
      <x:c r="H59" s="84"/>
      <x:c r="I59" s="84"/>
      <x:c r="J59" s="66"/>
      <x:c r="K59" s="66"/>
    </x:row>
    <x:row r="60">
      <x:c r="A60" s="66"/>
      <x:c r="B60" s="66"/>
      <x:c r="C60" s="66"/>
      <x:c r="D60" s="66"/>
      <x:c r="E60" s="66"/>
      <x:c r="F60" s="67"/>
      <x:c r="G60" s="84"/>
      <x:c r="H60" s="84"/>
      <x:c r="I60" s="84"/>
      <x:c r="J60" s="66"/>
      <x:c r="K60" s="66"/>
    </x:row>
    <x:row r="61">
      <x:c r="A61" s="66"/>
      <x:c r="B61" s="66"/>
      <x:c r="C61" s="66"/>
      <x:c r="D61" s="66"/>
      <x:c r="E61" s="66"/>
      <x:c r="F61" s="67"/>
      <x:c r="G61" s="84"/>
      <x:c r="H61" s="84"/>
      <x:c r="I61" s="84"/>
      <x:c r="J61" s="66"/>
      <x:c r="K61" s="66"/>
    </x:row>
    <x:row r="62">
      <x:c r="A62" s="66"/>
      <x:c r="B62" s="66"/>
      <x:c r="C62" s="66"/>
      <x:c r="D62" s="66"/>
      <x:c r="E62" s="66"/>
      <x:c r="F62" s="67"/>
      <x:c r="G62" s="84"/>
      <x:c r="H62" s="84"/>
      <x:c r="I62" s="84"/>
      <x:c r="J62" s="66"/>
      <x:c r="K62" s="66"/>
    </x:row>
    <x:row r="63">
      <x:c r="A63" s="66"/>
      <x:c r="B63" s="66"/>
      <x:c r="C63" s="66"/>
      <x:c r="D63" s="66"/>
      <x:c r="E63" s="66"/>
      <x:c r="F63" s="67"/>
      <x:c r="G63" s="84"/>
      <x:c r="H63" s="84"/>
      <x:c r="I63" s="84"/>
      <x:c r="J63" s="66"/>
      <x:c r="K63" s="66"/>
    </x:row>
    <x:row r="64">
      <x:c r="A64" s="66"/>
      <x:c r="B64" s="66"/>
      <x:c r="C64" s="66"/>
      <x:c r="D64" s="66"/>
      <x:c r="E64" s="66"/>
      <x:c r="F64" s="67"/>
      <x:c r="G64" s="84"/>
      <x:c r="H64" s="84"/>
      <x:c r="I64" s="84"/>
      <x:c r="J64" s="66"/>
      <x:c r="K64" s="66"/>
    </x:row>
    <x:row r="65">
      <x:c r="A65" s="66"/>
      <x:c r="B65" s="66"/>
      <x:c r="C65" s="66"/>
      <x:c r="D65" s="66"/>
      <x:c r="E65" s="66"/>
      <x:c r="F65" s="67"/>
      <x:c r="G65" s="84"/>
      <x:c r="H65" s="84"/>
      <x:c r="I65" s="84"/>
      <x:c r="J65" s="66"/>
      <x:c r="K65" s="66"/>
    </x:row>
    <x:row r="66">
      <x:c r="A66" s="66"/>
      <x:c r="B66" s="66"/>
      <x:c r="C66" s="66"/>
      <x:c r="D66" s="66"/>
      <x:c r="E66" s="66"/>
      <x:c r="F66" s="67"/>
      <x:c r="G66" s="84"/>
      <x:c r="H66" s="84"/>
      <x:c r="I66" s="84"/>
      <x:c r="J66" s="66"/>
      <x:c r="K66" s="66"/>
    </x:row>
    <x:row r="67">
      <x:c r="A67" s="66"/>
      <x:c r="B67" s="66"/>
      <x:c r="C67" s="66"/>
      <x:c r="D67" s="66"/>
      <x:c r="E67" s="66"/>
      <x:c r="F67" s="67"/>
      <x:c r="G67" s="84"/>
      <x:c r="H67" s="84"/>
      <x:c r="I67" s="84"/>
      <x:c r="J67" s="66"/>
      <x:c r="K67" s="66"/>
    </x:row>
    <x:row r="68">
      <x:c r="A68" s="66"/>
      <x:c r="B68" s="66"/>
      <x:c r="C68" s="66"/>
      <x:c r="D68" s="66"/>
      <x:c r="E68" s="66"/>
      <x:c r="F68" s="67"/>
      <x:c r="G68" s="84"/>
      <x:c r="H68" s="84"/>
      <x:c r="I68" s="84"/>
      <x:c r="J68" s="66"/>
      <x:c r="K68" s="66"/>
    </x:row>
    <x:row r="69">
      <x:c r="A69" s="66"/>
      <x:c r="B69" s="66"/>
      <x:c r="C69" s="66"/>
      <x:c r="D69" s="66"/>
      <x:c r="E69" s="66"/>
      <x:c r="F69" s="67"/>
      <x:c r="G69" s="84"/>
      <x:c r="H69" s="84"/>
      <x:c r="I69" s="84"/>
      <x:c r="J69" s="66"/>
      <x:c r="K69" s="66"/>
    </x:row>
    <x:row r="70">
      <x:c r="A70" s="66"/>
      <x:c r="B70" s="66"/>
      <x:c r="C70" s="66"/>
      <x:c r="D70" s="66"/>
      <x:c r="E70" s="66"/>
      <x:c r="F70" s="67"/>
      <x:c r="G70" s="84"/>
      <x:c r="H70" s="84"/>
      <x:c r="I70" s="84"/>
      <x:c r="J70" s="66"/>
      <x:c r="K70" s="66"/>
    </x:row>
    <x:row r="71">
      <x:c r="A71" s="66"/>
      <x:c r="B71" s="66"/>
      <x:c r="C71" s="66"/>
      <x:c r="D71" s="66"/>
      <x:c r="E71" s="66"/>
      <x:c r="F71" s="67"/>
      <x:c r="G71" s="84"/>
      <x:c r="H71" s="84"/>
      <x:c r="I71" s="84"/>
      <x:c r="J71" s="66"/>
      <x:c r="K71" s="66"/>
    </x:row>
    <x:row r="72">
      <x:c r="A72" s="66"/>
      <x:c r="B72" s="66"/>
      <x:c r="C72" s="66"/>
      <x:c r="D72" s="66"/>
      <x:c r="E72" s="66"/>
      <x:c r="F72" s="67"/>
      <x:c r="G72" s="84"/>
      <x:c r="H72" s="84"/>
      <x:c r="I72" s="84"/>
      <x:c r="J72" s="66"/>
      <x:c r="K72" s="66"/>
    </x:row>
    <x:row r="73">
      <x:c r="A73" s="66"/>
      <x:c r="B73" s="66"/>
      <x:c r="C73" s="66"/>
      <x:c r="D73" s="66"/>
      <x:c r="E73" s="66"/>
      <x:c r="F73" s="67"/>
      <x:c r="G73" s="84"/>
      <x:c r="H73" s="84"/>
      <x:c r="I73" s="84"/>
      <x:c r="J73" s="66"/>
      <x:c r="K73" s="66"/>
    </x:row>
    <x:row r="74">
      <x:c r="A74" s="66"/>
      <x:c r="B74" s="66"/>
      <x:c r="C74" s="66"/>
      <x:c r="D74" s="66"/>
      <x:c r="E74" s="66"/>
      <x:c r="F74" s="67"/>
      <x:c r="G74" s="84"/>
      <x:c r="H74" s="84"/>
      <x:c r="I74" s="84"/>
      <x:c r="J74" s="66"/>
      <x:c r="K74" s="66"/>
    </x:row>
    <x:row r="75">
      <x:c r="A75" s="66"/>
      <x:c r="B75" s="66"/>
      <x:c r="C75" s="66"/>
      <x:c r="D75" s="66"/>
      <x:c r="E75" s="66"/>
      <x:c r="F75" s="67"/>
      <x:c r="G75" s="84"/>
      <x:c r="H75" s="84"/>
      <x:c r="I75" s="84"/>
      <x:c r="J75" s="66"/>
      <x:c r="K75" s="66"/>
    </x:row>
    <x:row r="76">
      <x:c r="A76" s="66"/>
      <x:c r="B76" s="66"/>
      <x:c r="C76" s="66"/>
      <x:c r="D76" s="66"/>
      <x:c r="E76" s="66"/>
      <x:c r="F76" s="67"/>
      <x:c r="G76" s="84"/>
      <x:c r="H76" s="84"/>
      <x:c r="I76" s="84"/>
      <x:c r="J76" s="66"/>
      <x:c r="K76" s="66"/>
    </x:row>
    <x:row r="77">
      <x:c r="A77" s="66"/>
      <x:c r="B77" s="66"/>
      <x:c r="C77" s="66"/>
      <x:c r="D77" s="66"/>
      <x:c r="E77" s="66"/>
      <x:c r="F77" s="67"/>
      <x:c r="G77" s="84"/>
      <x:c r="H77" s="84"/>
      <x:c r="I77" s="84"/>
      <x:c r="J77" s="66"/>
      <x:c r="K77" s="66"/>
    </x:row>
    <x:row r="78">
      <x:c r="A78" s="66"/>
      <x:c r="B78" s="66"/>
      <x:c r="C78" s="66"/>
      <x:c r="D78" s="66"/>
      <x:c r="E78" s="66"/>
      <x:c r="F78" s="67"/>
      <x:c r="G78" s="84"/>
      <x:c r="H78" s="84"/>
      <x:c r="I78" s="84"/>
      <x:c r="J78" s="66"/>
      <x:c r="K78" s="66"/>
    </x:row>
    <x:row r="79">
      <x:c r="A79" s="66"/>
      <x:c r="B79" s="66"/>
      <x:c r="C79" s="66"/>
      <x:c r="D79" s="66"/>
      <x:c r="E79" s="66"/>
      <x:c r="F79" s="67"/>
      <x:c r="G79" s="84"/>
      <x:c r="H79" s="84"/>
      <x:c r="I79" s="84"/>
      <x:c r="J79" s="66"/>
      <x:c r="K79" s="66"/>
    </x:row>
    <x:row r="80">
      <x:c r="A80" s="66"/>
      <x:c r="B80" s="66"/>
      <x:c r="C80" s="66"/>
      <x:c r="D80" s="66"/>
      <x:c r="E80" s="66"/>
      <x:c r="F80" s="67"/>
      <x:c r="G80" s="84"/>
      <x:c r="H80" s="84"/>
      <x:c r="I80" s="84"/>
      <x:c r="J80" s="66"/>
      <x:c r="K80" s="66"/>
    </x:row>
    <x:row r="81">
      <x:c r="A81" s="66"/>
      <x:c r="B81" s="66"/>
      <x:c r="C81" s="66"/>
      <x:c r="D81" s="66"/>
      <x:c r="E81" s="66"/>
      <x:c r="F81" s="67"/>
      <x:c r="G81" s="84"/>
      <x:c r="H81" s="84"/>
      <x:c r="I81" s="84"/>
      <x:c r="J81" s="66"/>
      <x:c r="K81" s="66"/>
    </x:row>
    <x:row r="82">
      <x:c r="A82" s="66"/>
      <x:c r="B82" s="66"/>
      <x:c r="C82" s="66"/>
      <x:c r="D82" s="66"/>
      <x:c r="E82" s="66"/>
      <x:c r="F82" s="67"/>
      <x:c r="G82" s="84"/>
      <x:c r="H82" s="84"/>
      <x:c r="I82" s="84"/>
      <x:c r="J82" s="66"/>
      <x:c r="K82" s="66"/>
    </x:row>
    <x:row r="83">
      <x:c r="A83" s="66"/>
      <x:c r="B83" s="66"/>
      <x:c r="C83" s="66"/>
      <x:c r="D83" s="66"/>
      <x:c r="E83" s="66"/>
      <x:c r="F83" s="67"/>
      <x:c r="G83" s="84"/>
      <x:c r="H83" s="84"/>
      <x:c r="I83" s="84"/>
      <x:c r="J83" s="66"/>
      <x:c r="K83" s="66"/>
    </x:row>
    <x:row r="84">
      <x:c r="A84" s="66"/>
      <x:c r="B84" s="66"/>
      <x:c r="C84" s="66"/>
      <x:c r="D84" s="66"/>
      <x:c r="E84" s="66"/>
      <x:c r="F84" s="67"/>
      <x:c r="G84" s="84"/>
      <x:c r="H84" s="84"/>
      <x:c r="I84" s="84"/>
      <x:c r="J84" s="66"/>
      <x:c r="K84" s="66"/>
    </x:row>
    <x:row r="85">
      <x:c r="A85" s="66"/>
      <x:c r="B85" s="66"/>
      <x:c r="C85" s="66"/>
      <x:c r="D85" s="66"/>
      <x:c r="E85" s="66"/>
      <x:c r="F85" s="67"/>
      <x:c r="G85" s="84"/>
      <x:c r="H85" s="84"/>
      <x:c r="I85" s="84"/>
      <x:c r="J85" s="66"/>
      <x:c r="K85" s="66"/>
    </x:row>
    <x:row r="86">
      <x:c r="A86" s="66"/>
      <x:c r="B86" s="66"/>
      <x:c r="C86" s="66"/>
      <x:c r="D86" s="66"/>
      <x:c r="E86" s="66"/>
      <x:c r="F86" s="67"/>
      <x:c r="G86" s="84"/>
      <x:c r="H86" s="84"/>
      <x:c r="I86" s="84"/>
      <x:c r="J86" s="66"/>
      <x:c r="K86" s="66"/>
    </x:row>
    <x:row r="87">
      <x:c r="A87" s="66"/>
      <x:c r="B87" s="66"/>
      <x:c r="C87" s="66"/>
      <x:c r="D87" s="66"/>
      <x:c r="E87" s="66"/>
      <x:c r="F87" s="67"/>
      <x:c r="G87" s="84"/>
      <x:c r="H87" s="84"/>
      <x:c r="I87" s="84"/>
      <x:c r="J87" s="66"/>
      <x:c r="K87" s="66"/>
    </x:row>
    <x:row r="88">
      <x:c r="A88" s="66"/>
      <x:c r="B88" s="66"/>
      <x:c r="C88" s="66"/>
      <x:c r="D88" s="66"/>
      <x:c r="E88" s="66"/>
      <x:c r="F88" s="67"/>
      <x:c r="G88" s="84"/>
      <x:c r="H88" s="84"/>
      <x:c r="I88" s="84"/>
      <x:c r="J88" s="66"/>
      <x:c r="K88" s="66"/>
    </x:row>
    <x:row r="89">
      <x:c r="A89" s="66"/>
      <x:c r="B89" s="66"/>
      <x:c r="C89" s="66"/>
      <x:c r="D89" s="66"/>
      <x:c r="E89" s="66"/>
      <x:c r="F89" s="67"/>
      <x:c r="G89" s="84"/>
      <x:c r="H89" s="84"/>
      <x:c r="I89" s="84"/>
      <x:c r="J89" s="66"/>
      <x:c r="K89" s="66"/>
    </x:row>
    <x:row r="90">
      <x:c r="A90" s="66"/>
      <x:c r="B90" s="66"/>
      <x:c r="C90" s="66"/>
      <x:c r="D90" s="66"/>
      <x:c r="E90" s="66"/>
      <x:c r="F90" s="67"/>
      <x:c r="G90" s="84"/>
      <x:c r="H90" s="84"/>
      <x:c r="I90" s="84"/>
      <x:c r="J90" s="66"/>
      <x:c r="K90" s="66"/>
    </x:row>
    <x:row r="91">
      <x:c r="A91" s="66"/>
      <x:c r="B91" s="66"/>
      <x:c r="C91" s="66"/>
      <x:c r="D91" s="66"/>
      <x:c r="E91" s="66"/>
      <x:c r="F91" s="67"/>
      <x:c r="G91" s="84"/>
      <x:c r="H91" s="84"/>
      <x:c r="I91" s="84"/>
      <x:c r="J91" s="66"/>
      <x:c r="K91" s="66"/>
    </x:row>
    <x:row r="92">
      <x:c r="A92" s="66"/>
      <x:c r="B92" s="66"/>
      <x:c r="C92" s="66"/>
      <x:c r="D92" s="66"/>
      <x:c r="E92" s="66"/>
      <x:c r="F92" s="67"/>
      <x:c r="G92" s="84"/>
      <x:c r="H92" s="84"/>
      <x:c r="I92" s="84"/>
      <x:c r="J92" s="66"/>
      <x:c r="K92" s="66"/>
    </x:row>
    <x:row r="93">
      <x:c r="A93" s="66"/>
      <x:c r="B93" s="66"/>
      <x:c r="C93" s="66"/>
      <x:c r="D93" s="66"/>
      <x:c r="E93" s="66"/>
      <x:c r="F93" s="67"/>
      <x:c r="G93" s="84"/>
      <x:c r="H93" s="84"/>
      <x:c r="I93" s="84"/>
      <x:c r="J93" s="66"/>
      <x:c r="K93" s="66"/>
    </x:row>
    <x:row r="94">
      <x:c r="A94" s="66"/>
      <x:c r="B94" s="66"/>
      <x:c r="C94" s="66"/>
      <x:c r="D94" s="66"/>
      <x:c r="E94" s="66"/>
      <x:c r="F94" s="67"/>
      <x:c r="G94" s="84"/>
      <x:c r="H94" s="84"/>
      <x:c r="I94" s="84"/>
      <x:c r="J94" s="66"/>
      <x:c r="K94" s="66"/>
    </x:row>
    <x:row r="95">
      <x:c r="A95" s="66"/>
      <x:c r="B95" s="66"/>
      <x:c r="C95" s="66"/>
      <x:c r="D95" s="66"/>
      <x:c r="E95" s="66"/>
      <x:c r="F95" s="67"/>
      <x:c r="G95" s="84"/>
      <x:c r="H95" s="84"/>
      <x:c r="I95" s="84"/>
      <x:c r="J95" s="66"/>
      <x:c r="K95" s="66"/>
    </x:row>
    <x:row r="96">
      <x:c r="A96" s="66"/>
      <x:c r="B96" s="66"/>
      <x:c r="C96" s="66"/>
      <x:c r="D96" s="66"/>
      <x:c r="E96" s="66"/>
      <x:c r="F96" s="67"/>
      <x:c r="G96" s="84"/>
      <x:c r="H96" s="84"/>
      <x:c r="I96" s="84"/>
      <x:c r="J96" s="66"/>
      <x:c r="K96" s="66"/>
    </x:row>
    <x:row r="97">
      <x:c r="A97" s="66"/>
      <x:c r="B97" s="66"/>
      <x:c r="C97" s="66"/>
      <x:c r="D97" s="66"/>
      <x:c r="E97" s="66"/>
      <x:c r="F97" s="67"/>
      <x:c r="G97" s="84"/>
      <x:c r="H97" s="84"/>
      <x:c r="I97" s="84"/>
      <x:c r="J97" s="66"/>
      <x:c r="K97" s="66"/>
    </x:row>
    <x:row r="98">
      <x:c r="A98" s="66"/>
      <x:c r="B98" s="66"/>
      <x:c r="C98" s="66"/>
      <x:c r="D98" s="66"/>
      <x:c r="E98" s="66"/>
      <x:c r="F98" s="67"/>
      <x:c r="G98" s="84"/>
      <x:c r="H98" s="84"/>
      <x:c r="I98" s="84"/>
      <x:c r="J98" s="66"/>
      <x:c r="K98" s="66"/>
    </x:row>
    <x:row r="99">
      <x:c r="A99" s="66"/>
      <x:c r="B99" s="66"/>
      <x:c r="C99" s="66"/>
      <x:c r="D99" s="66"/>
      <x:c r="E99" s="66"/>
      <x:c r="F99" s="67"/>
      <x:c r="G99" s="84"/>
      <x:c r="H99" s="84"/>
      <x:c r="I99" s="84"/>
      <x:c r="J99" s="66"/>
      <x:c r="K99" s="66"/>
    </x:row>
    <x:row r="100">
      <x:c r="A100" s="66"/>
      <x:c r="B100" s="66"/>
      <x:c r="C100" s="66"/>
      <x:c r="D100" s="66"/>
      <x:c r="E100" s="66"/>
      <x:c r="F100" s="67"/>
      <x:c r="G100" s="84"/>
      <x:c r="H100" s="84"/>
      <x:c r="I100" s="84"/>
      <x:c r="J100" s="66"/>
      <x:c r="K100" s="66"/>
    </x:row>
    <x:row r="101">
      <x:c r="A101" s="66"/>
      <x:c r="B101" s="66"/>
      <x:c r="C101" s="66"/>
      <x:c r="D101" s="66"/>
      <x:c r="E101" s="66"/>
      <x:c r="F101" s="67"/>
      <x:c r="G101" s="84"/>
      <x:c r="H101" s="84"/>
      <x:c r="I101" s="84"/>
      <x:c r="J101" s="66"/>
      <x:c r="K101" s="66"/>
    </x:row>
    <x:row r="102">
      <x:c r="A102" s="66"/>
      <x:c r="B102" s="66"/>
      <x:c r="C102" s="66"/>
      <x:c r="D102" s="66"/>
      <x:c r="E102" s="66"/>
      <x:c r="F102" s="67"/>
      <x:c r="G102" s="84"/>
      <x:c r="H102" s="84"/>
      <x:c r="I102" s="84"/>
      <x:c r="J102" s="66"/>
      <x:c r="K102" s="66"/>
    </x:row>
    <x:row r="103">
      <x:c r="A103" s="66"/>
      <x:c r="B103" s="66"/>
      <x:c r="C103" s="66"/>
      <x:c r="D103" s="66"/>
      <x:c r="E103" s="66"/>
      <x:c r="F103" s="67"/>
      <x:c r="G103" s="84"/>
      <x:c r="H103" s="84"/>
      <x:c r="I103" s="84"/>
      <x:c r="J103" s="66"/>
      <x:c r="K103" s="66"/>
    </x:row>
    <x:row r="104">
      <x:c r="A104" s="66"/>
      <x:c r="B104" s="66"/>
      <x:c r="C104" s="66"/>
      <x:c r="D104" s="66"/>
      <x:c r="E104" s="66"/>
      <x:c r="F104" s="67"/>
      <x:c r="G104" s="84"/>
      <x:c r="H104" s="84"/>
      <x:c r="I104" s="84"/>
      <x:c r="J104" s="66"/>
      <x:c r="K104" s="66"/>
    </x:row>
    <x:row r="105">
      <x:c r="A105" s="66"/>
      <x:c r="B105" s="66"/>
      <x:c r="C105" s="66"/>
      <x:c r="D105" s="66"/>
      <x:c r="E105" s="66"/>
      <x:c r="F105" s="67"/>
      <x:c r="G105" s="84"/>
      <x:c r="H105" s="84"/>
      <x:c r="I105" s="84"/>
      <x:c r="J105" s="66"/>
      <x:c r="K105" s="66"/>
    </x:row>
    <x:row r="106">
      <x:c r="A106" s="66"/>
      <x:c r="B106" s="66"/>
      <x:c r="C106" s="66"/>
      <x:c r="D106" s="66"/>
      <x:c r="E106" s="66"/>
      <x:c r="F106" s="67"/>
      <x:c r="G106" s="84"/>
      <x:c r="H106" s="84"/>
      <x:c r="I106" s="84"/>
      <x:c r="J106" s="66"/>
      <x:c r="K106" s="66"/>
    </x:row>
    <x:row r="107">
      <x:c r="A107" s="66"/>
      <x:c r="B107" s="66"/>
      <x:c r="C107" s="66"/>
      <x:c r="D107" s="66"/>
      <x:c r="E107" s="66"/>
      <x:c r="F107" s="67"/>
      <x:c r="G107" s="84"/>
      <x:c r="H107" s="84"/>
      <x:c r="I107" s="84"/>
      <x:c r="J107" s="66"/>
      <x:c r="K107" s="66"/>
    </x:row>
    <x:row r="108">
      <x:c r="A108" s="66"/>
      <x:c r="B108" s="66"/>
      <x:c r="C108" s="66"/>
      <x:c r="D108" s="66"/>
      <x:c r="E108" s="66"/>
      <x:c r="F108" s="67"/>
      <x:c r="G108" s="84"/>
      <x:c r="H108" s="84"/>
      <x:c r="I108" s="84"/>
      <x:c r="J108" s="66"/>
      <x:c r="K108" s="66"/>
    </x:row>
    <x:row r="109">
      <x:c r="A109" s="66"/>
      <x:c r="B109" s="66"/>
      <x:c r="C109" s="66"/>
      <x:c r="D109" s="66"/>
      <x:c r="E109" s="66"/>
      <x:c r="F109" s="67"/>
      <x:c r="G109" s="84"/>
      <x:c r="H109" s="84"/>
      <x:c r="I109" s="84"/>
      <x:c r="J109" s="66"/>
      <x:c r="K109" s="66"/>
    </x:row>
    <x:row r="110">
      <x:c r="A110" s="66"/>
      <x:c r="B110" s="66"/>
      <x:c r="C110" s="66"/>
      <x:c r="D110" s="66"/>
      <x:c r="E110" s="66"/>
      <x:c r="F110" s="67"/>
      <x:c r="G110" s="84"/>
      <x:c r="H110" s="84"/>
      <x:c r="I110" s="84"/>
      <x:c r="J110" s="66"/>
      <x:c r="K110" s="66"/>
    </x:row>
  </x:sheetData>
  <x:mergeCells>
    <x:mergeCell ref="A1:K1"/>
    <x:mergeCell ref="A2:K2"/>
  </x:mergeCells>
  <x:conditionalFormatting sqref="J6:J110">
    <x:cfRule type="containsText" dxfId="12" priority="1" operator="containsText" text="待"/>
    <x:cfRule type="containsText" dxfId="13" priority="2" operator="containsText" text="有效"/>
    <x:cfRule type="containsText" dxfId="14" priority="3" operator="containsText" text="无效"/>
  </x:conditionalFormatting>
  <x:dataValidations count="2">
    <x:dataValidation type="list" sqref="B6:B110">
      <x:formula1>"全部店铺,US-旗舰店,US-日用店,TH-主店,新增店铺"</x:formula1>
    </x:dataValidation>
    <x:dataValidation type="list" sqref="J6:J110">
      <x:formula1>"运行中,需观察,待归因,已停止"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883b24f3b847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24" hidden="0" customWidth="1"/>
    <x:col min="7" max="7" width="20" hidden="0" customWidth="1"/>
    <x:col min="8" max="8" width="30" hidden="0" customWidth="1"/>
  </x:cols>
  <x:sheetData>
    <x:row r="1" ht="34" customHeight="1">
      <x:c r="A1" s="35" t="str">
        <x:v>自营短视频｜内容数据</x:v>
      </x:c>
      <x:c r="B1" s="36"/>
      <x:c r="C1" s="36"/>
      <x:c r="D1" s="36"/>
      <x:c r="E1" s="36"/>
      <x:c r="F1" s="36"/>
      <x:c r="G1" s="36"/>
      <x:c r="H1" s="37"/>
    </x:row>
    <x:row r="2" ht="30" customHeight="1">
      <x:c r="A2" s="42" t="str">
        <x:v>缺少后台历史或商品归因时留空；公开主页当前播放不能代替后台历史。</x:v>
      </x:c>
      <x:c r="B2" s="43"/>
      <x:c r="C2" s="43"/>
      <x:c r="D2" s="43"/>
      <x:c r="E2" s="43"/>
      <x:c r="F2" s="43"/>
      <x:c r="G2" s="43"/>
      <x:c r="H2" s="44"/>
    </x:row>
    <x:row r="3" ht="21" customHeight="1">
      <x:c r="A3" s="24"/>
      <x:c r="B3" s="3"/>
      <x:c r="C3" s="3"/>
      <x:c r="D3" s="3"/>
      <x:c r="E3" s="3"/>
      <x:c r="F3" s="3"/>
      <x:c r="G3" s="3"/>
      <x:c r="H3" s="25"/>
    </x:row>
    <x:row r="4" ht="21" customHeight="1">
      <x:c r="A4" s="24"/>
      <x:c r="B4" s="3"/>
      <x:c r="C4" s="3"/>
      <x:c r="D4" s="3"/>
      <x:c r="E4" s="3"/>
      <x:c r="F4" s="3"/>
      <x:c r="G4" s="3"/>
      <x:c r="H4" s="25"/>
    </x:row>
    <x:row r="5" ht="30" customHeight="1">
      <x:c r="A5" s="50" t="str">
        <x:v>日期</x:v>
      </x:c>
      <x:c r="B5" s="50" t="str">
        <x:v>店铺</x:v>
      </x:c>
      <x:c r="C5" s="50" t="str">
        <x:v>今日自营发布数量</x:v>
      </x:c>
      <x:c r="D5" s="50" t="str">
        <x:v>近7天播放量</x:v>
      </x:c>
      <x:c r="E5" s="50" t="str">
        <x:v>近7天GMV(CNY)</x:v>
      </x:c>
      <x:c r="F5" s="50" t="str">
        <x:v>播放数据来源</x:v>
      </x:c>
      <x:c r="G5" s="50" t="str">
        <x:v>GMV数据来源</x:v>
      </x:c>
      <x:c r="H5" s="50" t="str">
        <x:v>备注</x:v>
      </x:c>
    </x:row>
    <x:row r="6" ht="21" customHeight="1">
      <x:c r="A6" s="62" t="n">
        <x:v>46263</x:v>
      </x:c>
      <x:c r="B6" s="63" t="str">
        <x:v>全部店铺</x:v>
      </x:c>
      <x:c r="C6" s="63" t="n">
        <x:v>32</x:v>
      </x:c>
      <x:c r="D6" s="63"/>
      <x:c r="E6" s="64"/>
      <x:c r="F6" s="63" t="str">
        <x:v>后台历史字段缺失</x:v>
      </x:c>
      <x:c r="G6" s="63" t="str">
        <x:v>需商品归因</x:v>
      </x:c>
      <x:c r="H6" s="76" t="str"/>
    </x:row>
    <x:row r="7">
      <x:c r="A7" s="66"/>
      <x:c r="B7" s="66"/>
      <x:c r="C7" s="66"/>
      <x:c r="D7" s="66"/>
      <x:c r="E7" s="67"/>
      <x:c r="F7" s="66"/>
      <x:c r="G7" s="66"/>
      <x:c r="H7" s="66"/>
    </x:row>
    <x:row r="8">
      <x:c r="A8" s="66"/>
      <x:c r="B8" s="66"/>
      <x:c r="C8" s="66"/>
      <x:c r="D8" s="66"/>
      <x:c r="E8" s="67"/>
      <x:c r="F8" s="66"/>
      <x:c r="G8" s="66"/>
      <x:c r="H8" s="66"/>
    </x:row>
    <x:row r="9">
      <x:c r="A9" s="66"/>
      <x:c r="B9" s="66"/>
      <x:c r="C9" s="66"/>
      <x:c r="D9" s="66"/>
      <x:c r="E9" s="67"/>
      <x:c r="F9" s="66"/>
      <x:c r="G9" s="66"/>
      <x:c r="H9" s="66"/>
    </x:row>
    <x:row r="10">
      <x:c r="A10" s="66"/>
      <x:c r="B10" s="66"/>
      <x:c r="C10" s="66"/>
      <x:c r="D10" s="66"/>
      <x:c r="E10" s="67"/>
      <x:c r="F10" s="66"/>
      <x:c r="G10" s="66"/>
      <x:c r="H10" s="66"/>
    </x:row>
    <x:row r="11">
      <x:c r="A11" s="66"/>
      <x:c r="B11" s="66"/>
      <x:c r="C11" s="66"/>
      <x:c r="D11" s="66"/>
      <x:c r="E11" s="67"/>
      <x:c r="F11" s="66"/>
      <x:c r="G11" s="66"/>
      <x:c r="H11" s="66"/>
    </x:row>
    <x:row r="12">
      <x:c r="A12" s="66"/>
      <x:c r="B12" s="66"/>
      <x:c r="C12" s="66"/>
      <x:c r="D12" s="66"/>
      <x:c r="E12" s="67"/>
      <x:c r="F12" s="66"/>
      <x:c r="G12" s="66"/>
      <x:c r="H12" s="66"/>
    </x:row>
    <x:row r="13">
      <x:c r="A13" s="66"/>
      <x:c r="B13" s="66"/>
      <x:c r="C13" s="66"/>
      <x:c r="D13" s="66"/>
      <x:c r="E13" s="67"/>
      <x:c r="F13" s="66"/>
      <x:c r="G13" s="66"/>
      <x:c r="H13" s="66"/>
    </x:row>
    <x:row r="14">
      <x:c r="A14" s="66"/>
      <x:c r="B14" s="66"/>
      <x:c r="C14" s="66"/>
      <x:c r="D14" s="66"/>
      <x:c r="E14" s="67"/>
      <x:c r="F14" s="66"/>
      <x:c r="G14" s="66"/>
      <x:c r="H14" s="66"/>
    </x:row>
    <x:row r="15">
      <x:c r="A15" s="66"/>
      <x:c r="B15" s="66"/>
      <x:c r="C15" s="66"/>
      <x:c r="D15" s="66"/>
      <x:c r="E15" s="67"/>
      <x:c r="F15" s="66"/>
      <x:c r="G15" s="66"/>
      <x:c r="H15" s="66"/>
    </x:row>
    <x:row r="16">
      <x:c r="A16" s="66"/>
      <x:c r="B16" s="66"/>
      <x:c r="C16" s="66"/>
      <x:c r="D16" s="66"/>
      <x:c r="E16" s="67"/>
      <x:c r="F16" s="66"/>
      <x:c r="G16" s="66"/>
      <x:c r="H16" s="66"/>
    </x:row>
    <x:row r="17">
      <x:c r="A17" s="66"/>
      <x:c r="B17" s="66"/>
      <x:c r="C17" s="66"/>
      <x:c r="D17" s="66"/>
      <x:c r="E17" s="67"/>
      <x:c r="F17" s="66"/>
      <x:c r="G17" s="66"/>
      <x:c r="H17" s="66"/>
    </x:row>
    <x:row r="18">
      <x:c r="A18" s="66"/>
      <x:c r="B18" s="66"/>
      <x:c r="C18" s="66"/>
      <x:c r="D18" s="66"/>
      <x:c r="E18" s="67"/>
      <x:c r="F18" s="66"/>
      <x:c r="G18" s="66"/>
      <x:c r="H18" s="66"/>
    </x:row>
    <x:row r="19">
      <x:c r="A19" s="66"/>
      <x:c r="B19" s="66"/>
      <x:c r="C19" s="66"/>
      <x:c r="D19" s="66"/>
      <x:c r="E19" s="67"/>
      <x:c r="F19" s="66"/>
      <x:c r="G19" s="66"/>
      <x:c r="H19" s="66"/>
    </x:row>
    <x:row r="20">
      <x:c r="A20" s="66"/>
      <x:c r="B20" s="66"/>
      <x:c r="C20" s="66"/>
      <x:c r="D20" s="66"/>
      <x:c r="E20" s="67"/>
      <x:c r="F20" s="66"/>
      <x:c r="G20" s="66"/>
      <x:c r="H20" s="66"/>
    </x:row>
    <x:row r="21">
      <x:c r="A21" s="66"/>
      <x:c r="B21" s="66"/>
      <x:c r="C21" s="66"/>
      <x:c r="D21" s="66"/>
      <x:c r="E21" s="67"/>
      <x:c r="F21" s="66"/>
      <x:c r="G21" s="66"/>
      <x:c r="H21" s="66"/>
    </x:row>
    <x:row r="22">
      <x:c r="A22" s="66"/>
      <x:c r="B22" s="66"/>
      <x:c r="C22" s="66"/>
      <x:c r="D22" s="66"/>
      <x:c r="E22" s="67"/>
      <x:c r="F22" s="66"/>
      <x:c r="G22" s="66"/>
      <x:c r="H22" s="66"/>
    </x:row>
    <x:row r="23">
      <x:c r="A23" s="66"/>
      <x:c r="B23" s="66"/>
      <x:c r="C23" s="66"/>
      <x:c r="D23" s="66"/>
      <x:c r="E23" s="67"/>
      <x:c r="F23" s="66"/>
      <x:c r="G23" s="66"/>
      <x:c r="H23" s="66"/>
    </x:row>
    <x:row r="24">
      <x:c r="A24" s="66"/>
      <x:c r="B24" s="66"/>
      <x:c r="C24" s="66"/>
      <x:c r="D24" s="66"/>
      <x:c r="E24" s="67"/>
      <x:c r="F24" s="66"/>
      <x:c r="G24" s="66"/>
      <x:c r="H24" s="66"/>
    </x:row>
    <x:row r="25">
      <x:c r="A25" s="66"/>
      <x:c r="B25" s="66"/>
      <x:c r="C25" s="66"/>
      <x:c r="D25" s="66"/>
      <x:c r="E25" s="67"/>
      <x:c r="F25" s="66"/>
      <x:c r="G25" s="66"/>
      <x:c r="H25" s="66"/>
    </x:row>
    <x:row r="26">
      <x:c r="A26" s="66"/>
      <x:c r="B26" s="66"/>
      <x:c r="C26" s="66"/>
      <x:c r="D26" s="66"/>
      <x:c r="E26" s="67"/>
      <x:c r="F26" s="66"/>
      <x:c r="G26" s="66"/>
      <x:c r="H26" s="66"/>
    </x:row>
    <x:row r="27">
      <x:c r="A27" s="66"/>
      <x:c r="B27" s="66"/>
      <x:c r="C27" s="66"/>
      <x:c r="D27" s="66"/>
      <x:c r="E27" s="67"/>
      <x:c r="F27" s="66"/>
      <x:c r="G27" s="66"/>
      <x:c r="H27" s="66"/>
    </x:row>
    <x:row r="28">
      <x:c r="A28" s="66"/>
      <x:c r="B28" s="66"/>
      <x:c r="C28" s="66"/>
      <x:c r="D28" s="66"/>
      <x:c r="E28" s="67"/>
      <x:c r="F28" s="66"/>
      <x:c r="G28" s="66"/>
      <x:c r="H28" s="66"/>
    </x:row>
    <x:row r="29">
      <x:c r="A29" s="66"/>
      <x:c r="B29" s="66"/>
      <x:c r="C29" s="66"/>
      <x:c r="D29" s="66"/>
      <x:c r="E29" s="67"/>
      <x:c r="F29" s="66"/>
      <x:c r="G29" s="66"/>
      <x:c r="H29" s="66"/>
    </x:row>
    <x:row r="30">
      <x:c r="A30" s="66"/>
      <x:c r="B30" s="66"/>
      <x:c r="C30" s="66"/>
      <x:c r="D30" s="66"/>
      <x:c r="E30" s="67"/>
      <x:c r="F30" s="66"/>
      <x:c r="G30" s="66"/>
      <x:c r="H30" s="66"/>
    </x:row>
    <x:row r="31">
      <x:c r="A31" s="66"/>
      <x:c r="B31" s="66"/>
      <x:c r="C31" s="66"/>
      <x:c r="D31" s="66"/>
      <x:c r="E31" s="67"/>
      <x:c r="F31" s="66"/>
      <x:c r="G31" s="66"/>
      <x:c r="H31" s="66"/>
    </x:row>
    <x:row r="32">
      <x:c r="A32" s="66"/>
      <x:c r="B32" s="66"/>
      <x:c r="C32" s="66"/>
      <x:c r="D32" s="66"/>
      <x:c r="E32" s="67"/>
      <x:c r="F32" s="66"/>
      <x:c r="G32" s="66"/>
      <x:c r="H32" s="66"/>
    </x:row>
    <x:row r="33">
      <x:c r="A33" s="66"/>
      <x:c r="B33" s="66"/>
      <x:c r="C33" s="66"/>
      <x:c r="D33" s="66"/>
      <x:c r="E33" s="67"/>
      <x:c r="F33" s="66"/>
      <x:c r="G33" s="66"/>
      <x:c r="H33" s="66"/>
    </x:row>
    <x:row r="34">
      <x:c r="A34" s="66"/>
      <x:c r="B34" s="66"/>
      <x:c r="C34" s="66"/>
      <x:c r="D34" s="66"/>
      <x:c r="E34" s="67"/>
      <x:c r="F34" s="66"/>
      <x:c r="G34" s="66"/>
      <x:c r="H34" s="66"/>
    </x:row>
    <x:row r="35">
      <x:c r="A35" s="66"/>
      <x:c r="B35" s="66"/>
      <x:c r="C35" s="66"/>
      <x:c r="D35" s="66"/>
      <x:c r="E35" s="67"/>
      <x:c r="F35" s="66"/>
      <x:c r="G35" s="66"/>
      <x:c r="H35" s="66"/>
    </x:row>
    <x:row r="36">
      <x:c r="A36" s="66"/>
      <x:c r="B36" s="66"/>
      <x:c r="C36" s="66"/>
      <x:c r="D36" s="66"/>
      <x:c r="E36" s="67"/>
      <x:c r="F36" s="66"/>
      <x:c r="G36" s="66"/>
      <x:c r="H36" s="66"/>
    </x:row>
    <x:row r="37">
      <x:c r="A37" s="66"/>
      <x:c r="B37" s="66"/>
      <x:c r="C37" s="66"/>
      <x:c r="D37" s="66"/>
      <x:c r="E37" s="67"/>
      <x:c r="F37" s="66"/>
      <x:c r="G37" s="66"/>
      <x:c r="H37" s="66"/>
    </x:row>
    <x:row r="38">
      <x:c r="A38" s="66"/>
      <x:c r="B38" s="66"/>
      <x:c r="C38" s="66"/>
      <x:c r="D38" s="66"/>
      <x:c r="E38" s="67"/>
      <x:c r="F38" s="66"/>
      <x:c r="G38" s="66"/>
      <x:c r="H38" s="66"/>
    </x:row>
    <x:row r="39">
      <x:c r="A39" s="66"/>
      <x:c r="B39" s="66"/>
      <x:c r="C39" s="66"/>
      <x:c r="D39" s="66"/>
      <x:c r="E39" s="67"/>
      <x:c r="F39" s="66"/>
      <x:c r="G39" s="66"/>
      <x:c r="H39" s="66"/>
    </x:row>
    <x:row r="40">
      <x:c r="A40" s="66"/>
      <x:c r="B40" s="66"/>
      <x:c r="C40" s="66"/>
      <x:c r="D40" s="66"/>
      <x:c r="E40" s="67"/>
      <x:c r="F40" s="66"/>
      <x:c r="G40" s="66"/>
      <x:c r="H40" s="66"/>
    </x:row>
    <x:row r="41">
      <x:c r="A41" s="66"/>
      <x:c r="B41" s="66"/>
      <x:c r="C41" s="66"/>
      <x:c r="D41" s="66"/>
      <x:c r="E41" s="67"/>
      <x:c r="F41" s="66"/>
      <x:c r="G41" s="66"/>
      <x:c r="H41" s="66"/>
    </x:row>
    <x:row r="42">
      <x:c r="A42" s="66"/>
      <x:c r="B42" s="66"/>
      <x:c r="C42" s="66"/>
      <x:c r="D42" s="66"/>
      <x:c r="E42" s="67"/>
      <x:c r="F42" s="66"/>
      <x:c r="G42" s="66"/>
      <x:c r="H42" s="66"/>
    </x:row>
    <x:row r="43">
      <x:c r="A43" s="66"/>
      <x:c r="B43" s="66"/>
      <x:c r="C43" s="66"/>
      <x:c r="D43" s="66"/>
      <x:c r="E43" s="67"/>
      <x:c r="F43" s="66"/>
      <x:c r="G43" s="66"/>
      <x:c r="H43" s="66"/>
    </x:row>
    <x:row r="44">
      <x:c r="A44" s="66"/>
      <x:c r="B44" s="66"/>
      <x:c r="C44" s="66"/>
      <x:c r="D44" s="66"/>
      <x:c r="E44" s="67"/>
      <x:c r="F44" s="66"/>
      <x:c r="G44" s="66"/>
      <x:c r="H44" s="66"/>
    </x:row>
    <x:row r="45">
      <x:c r="A45" s="66"/>
      <x:c r="B45" s="66"/>
      <x:c r="C45" s="66"/>
      <x:c r="D45" s="66"/>
      <x:c r="E45" s="67"/>
      <x:c r="F45" s="66"/>
      <x:c r="G45" s="66"/>
      <x:c r="H45" s="66"/>
    </x:row>
    <x:row r="46">
      <x:c r="A46" s="66"/>
      <x:c r="B46" s="66"/>
      <x:c r="C46" s="66"/>
      <x:c r="D46" s="66"/>
      <x:c r="E46" s="67"/>
      <x:c r="F46" s="66"/>
      <x:c r="G46" s="66"/>
      <x:c r="H46" s="66"/>
    </x:row>
    <x:row r="47">
      <x:c r="A47" s="66"/>
      <x:c r="B47" s="66"/>
      <x:c r="C47" s="66"/>
      <x:c r="D47" s="66"/>
      <x:c r="E47" s="67"/>
      <x:c r="F47" s="66"/>
      <x:c r="G47" s="66"/>
      <x:c r="H47" s="66"/>
    </x:row>
    <x:row r="48">
      <x:c r="A48" s="66"/>
      <x:c r="B48" s="66"/>
      <x:c r="C48" s="66"/>
      <x:c r="D48" s="66"/>
      <x:c r="E48" s="67"/>
      <x:c r="F48" s="66"/>
      <x:c r="G48" s="66"/>
      <x:c r="H48" s="66"/>
    </x:row>
    <x:row r="49">
      <x:c r="A49" s="66"/>
      <x:c r="B49" s="66"/>
      <x:c r="C49" s="66"/>
      <x:c r="D49" s="66"/>
      <x:c r="E49" s="67"/>
      <x:c r="F49" s="66"/>
      <x:c r="G49" s="66"/>
      <x:c r="H49" s="66"/>
    </x:row>
    <x:row r="50">
      <x:c r="A50" s="66"/>
      <x:c r="B50" s="66"/>
      <x:c r="C50" s="66"/>
      <x:c r="D50" s="66"/>
      <x:c r="E50" s="67"/>
      <x:c r="F50" s="66"/>
      <x:c r="G50" s="66"/>
      <x:c r="H50" s="66"/>
    </x:row>
    <x:row r="51">
      <x:c r="A51" s="66"/>
      <x:c r="B51" s="66"/>
      <x:c r="C51" s="66"/>
      <x:c r="D51" s="66"/>
      <x:c r="E51" s="67"/>
      <x:c r="F51" s="66"/>
      <x:c r="G51" s="66"/>
      <x:c r="H51" s="66"/>
    </x:row>
    <x:row r="52">
      <x:c r="A52" s="66"/>
      <x:c r="B52" s="66"/>
      <x:c r="C52" s="66"/>
      <x:c r="D52" s="66"/>
      <x:c r="E52" s="67"/>
      <x:c r="F52" s="66"/>
      <x:c r="G52" s="66"/>
      <x:c r="H52" s="66"/>
    </x:row>
    <x:row r="53">
      <x:c r="A53" s="66"/>
      <x:c r="B53" s="66"/>
      <x:c r="C53" s="66"/>
      <x:c r="D53" s="66"/>
      <x:c r="E53" s="67"/>
      <x:c r="F53" s="66"/>
      <x:c r="G53" s="66"/>
      <x:c r="H53" s="66"/>
    </x:row>
    <x:row r="54">
      <x:c r="A54" s="66"/>
      <x:c r="B54" s="66"/>
      <x:c r="C54" s="66"/>
      <x:c r="D54" s="66"/>
      <x:c r="E54" s="67"/>
      <x:c r="F54" s="66"/>
      <x:c r="G54" s="66"/>
      <x:c r="H54" s="66"/>
    </x:row>
    <x:row r="55">
      <x:c r="A55" s="66"/>
      <x:c r="B55" s="66"/>
      <x:c r="C55" s="66"/>
      <x:c r="D55" s="66"/>
      <x:c r="E55" s="67"/>
      <x:c r="F55" s="66"/>
      <x:c r="G55" s="66"/>
      <x:c r="H55" s="66"/>
    </x:row>
    <x:row r="56">
      <x:c r="A56" s="66"/>
      <x:c r="B56" s="66"/>
      <x:c r="C56" s="66"/>
      <x:c r="D56" s="66"/>
      <x:c r="E56" s="67"/>
      <x:c r="F56" s="66"/>
      <x:c r="G56" s="66"/>
      <x:c r="H56" s="66"/>
    </x:row>
    <x:row r="57">
      <x:c r="A57" s="66"/>
      <x:c r="B57" s="66"/>
      <x:c r="C57" s="66"/>
      <x:c r="D57" s="66"/>
      <x:c r="E57" s="67"/>
      <x:c r="F57" s="66"/>
      <x:c r="G57" s="66"/>
      <x:c r="H57" s="66"/>
    </x:row>
    <x:row r="58">
      <x:c r="A58" s="66"/>
      <x:c r="B58" s="66"/>
      <x:c r="C58" s="66"/>
      <x:c r="D58" s="66"/>
      <x:c r="E58" s="67"/>
      <x:c r="F58" s="66"/>
      <x:c r="G58" s="66"/>
      <x:c r="H58" s="66"/>
    </x:row>
    <x:row r="59">
      <x:c r="A59" s="66"/>
      <x:c r="B59" s="66"/>
      <x:c r="C59" s="66"/>
      <x:c r="D59" s="66"/>
      <x:c r="E59" s="67"/>
      <x:c r="F59" s="66"/>
      <x:c r="G59" s="66"/>
      <x:c r="H59" s="66"/>
    </x:row>
    <x:row r="60">
      <x:c r="A60" s="66"/>
      <x:c r="B60" s="66"/>
      <x:c r="C60" s="66"/>
      <x:c r="D60" s="66"/>
      <x:c r="E60" s="67"/>
      <x:c r="F60" s="66"/>
      <x:c r="G60" s="66"/>
      <x:c r="H60" s="66"/>
    </x:row>
    <x:row r="61">
      <x:c r="A61" s="66"/>
      <x:c r="B61" s="66"/>
      <x:c r="C61" s="66"/>
      <x:c r="D61" s="66"/>
      <x:c r="E61" s="67"/>
      <x:c r="F61" s="66"/>
      <x:c r="G61" s="66"/>
      <x:c r="H61" s="66"/>
    </x:row>
    <x:row r="62">
      <x:c r="A62" s="66"/>
      <x:c r="B62" s="66"/>
      <x:c r="C62" s="66"/>
      <x:c r="D62" s="66"/>
      <x:c r="E62" s="67"/>
      <x:c r="F62" s="66"/>
      <x:c r="G62" s="66"/>
      <x:c r="H62" s="66"/>
    </x:row>
    <x:row r="63">
      <x:c r="A63" s="66"/>
      <x:c r="B63" s="66"/>
      <x:c r="C63" s="66"/>
      <x:c r="D63" s="66"/>
      <x:c r="E63" s="67"/>
      <x:c r="F63" s="66"/>
      <x:c r="G63" s="66"/>
      <x:c r="H63" s="66"/>
    </x:row>
    <x:row r="64">
      <x:c r="A64" s="66"/>
      <x:c r="B64" s="66"/>
      <x:c r="C64" s="66"/>
      <x:c r="D64" s="66"/>
      <x:c r="E64" s="67"/>
      <x:c r="F64" s="66"/>
      <x:c r="G64" s="66"/>
      <x:c r="H64" s="66"/>
    </x:row>
    <x:row r="65">
      <x:c r="A65" s="66"/>
      <x:c r="B65" s="66"/>
      <x:c r="C65" s="66"/>
      <x:c r="D65" s="66"/>
      <x:c r="E65" s="67"/>
      <x:c r="F65" s="66"/>
      <x:c r="G65" s="66"/>
      <x:c r="H65" s="66"/>
    </x:row>
    <x:row r="66">
      <x:c r="A66" s="66"/>
      <x:c r="B66" s="66"/>
      <x:c r="C66" s="66"/>
      <x:c r="D66" s="66"/>
      <x:c r="E66" s="67"/>
      <x:c r="F66" s="66"/>
      <x:c r="G66" s="66"/>
      <x:c r="H66" s="66"/>
    </x:row>
    <x:row r="67">
      <x:c r="A67" s="66"/>
      <x:c r="B67" s="66"/>
      <x:c r="C67" s="66"/>
      <x:c r="D67" s="66"/>
      <x:c r="E67" s="67"/>
      <x:c r="F67" s="66"/>
      <x:c r="G67" s="66"/>
      <x:c r="H67" s="66"/>
    </x:row>
    <x:row r="68">
      <x:c r="A68" s="66"/>
      <x:c r="B68" s="66"/>
      <x:c r="C68" s="66"/>
      <x:c r="D68" s="66"/>
      <x:c r="E68" s="67"/>
      <x:c r="F68" s="66"/>
      <x:c r="G68" s="66"/>
      <x:c r="H68" s="66"/>
    </x:row>
    <x:row r="69">
      <x:c r="A69" s="66"/>
      <x:c r="B69" s="66"/>
      <x:c r="C69" s="66"/>
      <x:c r="D69" s="66"/>
      <x:c r="E69" s="67"/>
      <x:c r="F69" s="66"/>
      <x:c r="G69" s="66"/>
      <x:c r="H69" s="66"/>
    </x:row>
    <x:row r="70">
      <x:c r="A70" s="66"/>
      <x:c r="B70" s="66"/>
      <x:c r="C70" s="66"/>
      <x:c r="D70" s="66"/>
      <x:c r="E70" s="67"/>
      <x:c r="F70" s="66"/>
      <x:c r="G70" s="66"/>
      <x:c r="H70" s="66"/>
    </x:row>
    <x:row r="71">
      <x:c r="A71" s="66"/>
      <x:c r="B71" s="66"/>
      <x:c r="C71" s="66"/>
      <x:c r="D71" s="66"/>
      <x:c r="E71" s="67"/>
      <x:c r="F71" s="66"/>
      <x:c r="G71" s="66"/>
      <x:c r="H71" s="66"/>
    </x:row>
    <x:row r="72">
      <x:c r="A72" s="66"/>
      <x:c r="B72" s="66"/>
      <x:c r="C72" s="66"/>
      <x:c r="D72" s="66"/>
      <x:c r="E72" s="67"/>
      <x:c r="F72" s="66"/>
      <x:c r="G72" s="66"/>
      <x:c r="H72" s="66"/>
    </x:row>
    <x:row r="73">
      <x:c r="A73" s="66"/>
      <x:c r="B73" s="66"/>
      <x:c r="C73" s="66"/>
      <x:c r="D73" s="66"/>
      <x:c r="E73" s="67"/>
      <x:c r="F73" s="66"/>
      <x:c r="G73" s="66"/>
      <x:c r="H73" s="66"/>
    </x:row>
    <x:row r="74">
      <x:c r="A74" s="66"/>
      <x:c r="B74" s="66"/>
      <x:c r="C74" s="66"/>
      <x:c r="D74" s="66"/>
      <x:c r="E74" s="67"/>
      <x:c r="F74" s="66"/>
      <x:c r="G74" s="66"/>
      <x:c r="H74" s="66"/>
    </x:row>
    <x:row r="75">
      <x:c r="A75" s="66"/>
      <x:c r="B75" s="66"/>
      <x:c r="C75" s="66"/>
      <x:c r="D75" s="66"/>
      <x:c r="E75" s="67"/>
      <x:c r="F75" s="66"/>
      <x:c r="G75" s="66"/>
      <x:c r="H75" s="66"/>
    </x:row>
    <x:row r="76">
      <x:c r="A76" s="66"/>
      <x:c r="B76" s="66"/>
      <x:c r="C76" s="66"/>
      <x:c r="D76" s="66"/>
      <x:c r="E76" s="67"/>
      <x:c r="F76" s="66"/>
      <x:c r="G76" s="66"/>
      <x:c r="H76" s="66"/>
    </x:row>
    <x:row r="77">
      <x:c r="A77" s="66"/>
      <x:c r="B77" s="66"/>
      <x:c r="C77" s="66"/>
      <x:c r="D77" s="66"/>
      <x:c r="E77" s="67"/>
      <x:c r="F77" s="66"/>
      <x:c r="G77" s="66"/>
      <x:c r="H77" s="66"/>
    </x:row>
    <x:row r="78">
      <x:c r="A78" s="66"/>
      <x:c r="B78" s="66"/>
      <x:c r="C78" s="66"/>
      <x:c r="D78" s="66"/>
      <x:c r="E78" s="67"/>
      <x:c r="F78" s="66"/>
      <x:c r="G78" s="66"/>
      <x:c r="H78" s="66"/>
    </x:row>
    <x:row r="79">
      <x:c r="A79" s="66"/>
      <x:c r="B79" s="66"/>
      <x:c r="C79" s="66"/>
      <x:c r="D79" s="66"/>
      <x:c r="E79" s="67"/>
      <x:c r="F79" s="66"/>
      <x:c r="G79" s="66"/>
      <x:c r="H79" s="66"/>
    </x:row>
    <x:row r="80">
      <x:c r="A80" s="66"/>
      <x:c r="B80" s="66"/>
      <x:c r="C80" s="66"/>
      <x:c r="D80" s="66"/>
      <x:c r="E80" s="67"/>
      <x:c r="F80" s="66"/>
      <x:c r="G80" s="66"/>
      <x:c r="H80" s="66"/>
    </x:row>
    <x:row r="81">
      <x:c r="A81" s="66"/>
      <x:c r="B81" s="66"/>
      <x:c r="C81" s="66"/>
      <x:c r="D81" s="66"/>
      <x:c r="E81" s="67"/>
      <x:c r="F81" s="66"/>
      <x:c r="G81" s="66"/>
      <x:c r="H81" s="66"/>
    </x:row>
    <x:row r="82">
      <x:c r="A82" s="66"/>
      <x:c r="B82" s="66"/>
      <x:c r="C82" s="66"/>
      <x:c r="D82" s="66"/>
      <x:c r="E82" s="67"/>
      <x:c r="F82" s="66"/>
      <x:c r="G82" s="66"/>
      <x:c r="H82" s="66"/>
    </x:row>
    <x:row r="83">
      <x:c r="A83" s="66"/>
      <x:c r="B83" s="66"/>
      <x:c r="C83" s="66"/>
      <x:c r="D83" s="66"/>
      <x:c r="E83" s="67"/>
      <x:c r="F83" s="66"/>
      <x:c r="G83" s="66"/>
      <x:c r="H83" s="66"/>
    </x:row>
    <x:row r="84">
      <x:c r="A84" s="66"/>
      <x:c r="B84" s="66"/>
      <x:c r="C84" s="66"/>
      <x:c r="D84" s="66"/>
      <x:c r="E84" s="67"/>
      <x:c r="F84" s="66"/>
      <x:c r="G84" s="66"/>
      <x:c r="H84" s="66"/>
    </x:row>
    <x:row r="85">
      <x:c r="A85" s="66"/>
      <x:c r="B85" s="66"/>
      <x:c r="C85" s="66"/>
      <x:c r="D85" s="66"/>
      <x:c r="E85" s="67"/>
      <x:c r="F85" s="66"/>
      <x:c r="G85" s="66"/>
      <x:c r="H85" s="66"/>
    </x:row>
    <x:row r="86">
      <x:c r="A86" s="66"/>
      <x:c r="B86" s="66"/>
      <x:c r="C86" s="66"/>
      <x:c r="D86" s="66"/>
      <x:c r="E86" s="67"/>
      <x:c r="F86" s="66"/>
      <x:c r="G86" s="66"/>
      <x:c r="H86" s="66"/>
    </x:row>
    <x:row r="87">
      <x:c r="A87" s="66"/>
      <x:c r="B87" s="66"/>
      <x:c r="C87" s="66"/>
      <x:c r="D87" s="66"/>
      <x:c r="E87" s="67"/>
      <x:c r="F87" s="66"/>
      <x:c r="G87" s="66"/>
      <x:c r="H87" s="66"/>
    </x:row>
    <x:row r="88">
      <x:c r="A88" s="66"/>
      <x:c r="B88" s="66"/>
      <x:c r="C88" s="66"/>
      <x:c r="D88" s="66"/>
      <x:c r="E88" s="67"/>
      <x:c r="F88" s="66"/>
      <x:c r="G88" s="66"/>
      <x:c r="H88" s="66"/>
    </x:row>
    <x:row r="89">
      <x:c r="A89" s="66"/>
      <x:c r="B89" s="66"/>
      <x:c r="C89" s="66"/>
      <x:c r="D89" s="66"/>
      <x:c r="E89" s="67"/>
      <x:c r="F89" s="66"/>
      <x:c r="G89" s="66"/>
      <x:c r="H89" s="66"/>
    </x:row>
    <x:row r="90">
      <x:c r="A90" s="66"/>
      <x:c r="B90" s="66"/>
      <x:c r="C90" s="66"/>
      <x:c r="D90" s="66"/>
      <x:c r="E90" s="67"/>
      <x:c r="F90" s="66"/>
      <x:c r="G90" s="66"/>
      <x:c r="H90" s="66"/>
    </x:row>
    <x:row r="91">
      <x:c r="A91" s="66"/>
      <x:c r="B91" s="66"/>
      <x:c r="C91" s="66"/>
      <x:c r="D91" s="66"/>
      <x:c r="E91" s="67"/>
      <x:c r="F91" s="66"/>
      <x:c r="G91" s="66"/>
      <x:c r="H91" s="66"/>
    </x:row>
    <x:row r="92">
      <x:c r="A92" s="66"/>
      <x:c r="B92" s="66"/>
      <x:c r="C92" s="66"/>
      <x:c r="D92" s="66"/>
      <x:c r="E92" s="67"/>
      <x:c r="F92" s="66"/>
      <x:c r="G92" s="66"/>
      <x:c r="H92" s="66"/>
    </x:row>
    <x:row r="93">
      <x:c r="A93" s="66"/>
      <x:c r="B93" s="66"/>
      <x:c r="C93" s="66"/>
      <x:c r="D93" s="66"/>
      <x:c r="E93" s="67"/>
      <x:c r="F93" s="66"/>
      <x:c r="G93" s="66"/>
      <x:c r="H93" s="66"/>
    </x:row>
    <x:row r="94">
      <x:c r="A94" s="66"/>
      <x:c r="B94" s="66"/>
      <x:c r="C94" s="66"/>
      <x:c r="D94" s="66"/>
      <x:c r="E94" s="67"/>
      <x:c r="F94" s="66"/>
      <x:c r="G94" s="66"/>
      <x:c r="H94" s="66"/>
    </x:row>
    <x:row r="95">
      <x:c r="A95" s="66"/>
      <x:c r="B95" s="66"/>
      <x:c r="C95" s="66"/>
      <x:c r="D95" s="66"/>
      <x:c r="E95" s="67"/>
      <x:c r="F95" s="66"/>
      <x:c r="G95" s="66"/>
      <x:c r="H95" s="66"/>
    </x:row>
    <x:row r="96">
      <x:c r="A96" s="66"/>
      <x:c r="B96" s="66"/>
      <x:c r="C96" s="66"/>
      <x:c r="D96" s="66"/>
      <x:c r="E96" s="67"/>
      <x:c r="F96" s="66"/>
      <x:c r="G96" s="66"/>
      <x:c r="H96" s="66"/>
    </x:row>
    <x:row r="97">
      <x:c r="A97" s="66"/>
      <x:c r="B97" s="66"/>
      <x:c r="C97" s="66"/>
      <x:c r="D97" s="66"/>
      <x:c r="E97" s="67"/>
      <x:c r="F97" s="66"/>
      <x:c r="G97" s="66"/>
      <x:c r="H97" s="66"/>
    </x:row>
    <x:row r="98">
      <x:c r="A98" s="66"/>
      <x:c r="B98" s="66"/>
      <x:c r="C98" s="66"/>
      <x:c r="D98" s="66"/>
      <x:c r="E98" s="67"/>
      <x:c r="F98" s="66"/>
      <x:c r="G98" s="66"/>
      <x:c r="H98" s="66"/>
    </x:row>
    <x:row r="99">
      <x:c r="A99" s="66"/>
      <x:c r="B99" s="66"/>
      <x:c r="C99" s="66"/>
      <x:c r="D99" s="66"/>
      <x:c r="E99" s="67"/>
      <x:c r="F99" s="66"/>
      <x:c r="G99" s="66"/>
      <x:c r="H99" s="66"/>
    </x:row>
    <x:row r="100">
      <x:c r="A100" s="66"/>
      <x:c r="B100" s="66"/>
      <x:c r="C100" s="66"/>
      <x:c r="D100" s="66"/>
      <x:c r="E100" s="67"/>
      <x:c r="F100" s="66"/>
      <x:c r="G100" s="66"/>
      <x:c r="H100" s="66"/>
    </x:row>
    <x:row r="101">
      <x:c r="A101" s="66"/>
      <x:c r="B101" s="66"/>
      <x:c r="C101" s="66"/>
      <x:c r="D101" s="66"/>
      <x:c r="E101" s="67"/>
      <x:c r="F101" s="66"/>
      <x:c r="G101" s="66"/>
      <x:c r="H101" s="66"/>
    </x:row>
    <x:row r="102">
      <x:c r="A102" s="66"/>
      <x:c r="B102" s="66"/>
      <x:c r="C102" s="66"/>
      <x:c r="D102" s="66"/>
      <x:c r="E102" s="67"/>
      <x:c r="F102" s="66"/>
      <x:c r="G102" s="66"/>
      <x:c r="H102" s="66"/>
    </x:row>
    <x:row r="103">
      <x:c r="A103" s="66"/>
      <x:c r="B103" s="66"/>
      <x:c r="C103" s="66"/>
      <x:c r="D103" s="66"/>
      <x:c r="E103" s="67"/>
      <x:c r="F103" s="66"/>
      <x:c r="G103" s="66"/>
      <x:c r="H103" s="66"/>
    </x:row>
    <x:row r="104">
      <x:c r="A104" s="66"/>
      <x:c r="B104" s="66"/>
      <x:c r="C104" s="66"/>
      <x:c r="D104" s="66"/>
      <x:c r="E104" s="67"/>
      <x:c r="F104" s="66"/>
      <x:c r="G104" s="66"/>
      <x:c r="H104" s="66"/>
    </x:row>
    <x:row r="105">
      <x:c r="A105" s="66"/>
      <x:c r="B105" s="66"/>
      <x:c r="C105" s="66"/>
      <x:c r="D105" s="66"/>
      <x:c r="E105" s="67"/>
      <x:c r="F105" s="66"/>
      <x:c r="G105" s="66"/>
      <x:c r="H105" s="66"/>
    </x:row>
    <x:row r="106">
      <x:c r="A106" s="66"/>
      <x:c r="B106" s="66"/>
      <x:c r="C106" s="66"/>
      <x:c r="D106" s="66"/>
      <x:c r="E106" s="67"/>
      <x:c r="F106" s="66"/>
      <x:c r="G106" s="66"/>
      <x:c r="H106" s="66"/>
    </x:row>
    <x:row r="107">
      <x:c r="A107" s="66"/>
      <x:c r="B107" s="66"/>
      <x:c r="C107" s="66"/>
      <x:c r="D107" s="66"/>
      <x:c r="E107" s="67"/>
      <x:c r="F107" s="66"/>
      <x:c r="G107" s="66"/>
      <x:c r="H107" s="66"/>
    </x:row>
    <x:row r="108">
      <x:c r="A108" s="66"/>
      <x:c r="B108" s="66"/>
      <x:c r="C108" s="66"/>
      <x:c r="D108" s="66"/>
      <x:c r="E108" s="67"/>
      <x:c r="F108" s="66"/>
      <x:c r="G108" s="66"/>
      <x:c r="H108" s="66"/>
    </x:row>
    <x:row r="109">
      <x:c r="A109" s="66"/>
      <x:c r="B109" s="66"/>
      <x:c r="C109" s="66"/>
      <x:c r="D109" s="66"/>
      <x:c r="E109" s="67"/>
      <x:c r="F109" s="66"/>
      <x:c r="G109" s="66"/>
      <x:c r="H109" s="66"/>
    </x:row>
    <x:row r="110">
      <x:c r="A110" s="66"/>
      <x:c r="B110" s="66"/>
      <x:c r="C110" s="66"/>
      <x:c r="D110" s="66"/>
      <x:c r="E110" s="67"/>
      <x:c r="F110" s="66"/>
      <x:c r="G110" s="66"/>
      <x:c r="H110" s="66"/>
    </x:row>
  </x:sheetData>
  <x:mergeCells>
    <x:mergeCell ref="A1:H1"/>
    <x:mergeCell ref="A2:H2"/>
  </x:mergeCells>
  <x:dataValidations count="1">
    <x:dataValidation type="list" sqref="B6:B110">
      <x:formula1>"全部店铺,US-旗舰店,US-日用店,TH-主店,新增店铺"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c9d8c1214246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60" hidden="0" customWidth="1"/>
    <x:col min="4" max="4" width="14" hidden="0" customWidth="1"/>
  </x:cols>
  <x:sheetData>
    <x:row r="1" ht="34" customHeight="1">
      <x:c r="A1" s="35" t="str">
        <x:v>字段字典｜不要改表头</x:v>
      </x:c>
      <x:c r="B1" s="36"/>
      <x:c r="C1" s="36"/>
      <x:c r="D1" s="37"/>
    </x:row>
    <x:row r="2" ht="30" customHeight="1">
      <x:c r="A2" s="42" t="str">
        <x:v>给运营和主管看的填写口径；黄色字段可以填，蓝色说明用于审计。</x:v>
      </x:c>
      <x:c r="B2" s="43"/>
      <x:c r="C2" s="43"/>
      <x:c r="D2" s="44"/>
    </x:row>
    <x:row r="3" ht="21" customHeight="1">
      <x:c r="A3" s="24"/>
      <x:c r="B3" s="3"/>
      <x:c r="C3" s="3"/>
      <x:c r="D3" s="25"/>
    </x:row>
    <x:row r="4" ht="21" customHeight="1">
      <x:c r="A4" s="24"/>
      <x:c r="B4" s="3"/>
      <x:c r="C4" s="3"/>
      <x:c r="D4" s="25"/>
    </x:row>
    <x:row r="5" ht="30" customHeight="1">
      <x:c r="A5" s="50" t="str">
        <x:v>字段</x:v>
      </x:c>
      <x:c r="B5" s="50" t="str">
        <x:v>所在表</x:v>
      </x:c>
      <x:c r="C5" s="50" t="str">
        <x:v>填写口径</x:v>
      </x:c>
      <x:c r="D5" s="50" t="str">
        <x:v>字段属性</x:v>
      </x:c>
    </x:row>
    <x:row r="6" ht="21" customHeight="1">
      <x:c r="A6" s="38" t="str">
        <x:v>店铺</x:v>
      </x:c>
      <x:c r="B6" s="7" t="str">
        <x:v>店铺日汇总 / 商品数据 / 运营动作</x:v>
      </x:c>
      <x:c r="C6" s="7" t="str">
        <x:v>必须统一，例如 US-旗舰店；网站顶部店铺筛选来自这里。</x:v>
      </x:c>
      <x:c r="D6" s="74" t="str">
        <x:v>黄色输入</x:v>
      </x:c>
    </x:row>
    <x:row r="7" ht="21" customHeight="1">
      <x:c r="A7" s="38" t="str">
        <x:v>商品ID</x:v>
      </x:c>
      <x:c r="B7" s="7" t="str">
        <x:v>商品数据 / 运营动作</x:v>
      </x:c>
      <x:c r="C7" s="7" t="str">
        <x:v>商品链接主键；动作验证必须使用同一 ID。</x:v>
      </x:c>
      <x:c r="D7" s="74" t="str">
        <x:v>黄色输入</x:v>
      </x:c>
    </x:row>
    <x:row r="8" ht="21" customHeight="1">
      <x:c r="A8" s="38" t="str">
        <x:v>GMV(CNY)</x:v>
      </x:c>
      <x:c r="B8" s="7" t="str">
        <x:v>店铺日汇总 / 商品数据 / 广告计划</x:v>
      </x:c>
      <x:c r="C8" s="7" t="str">
        <x:v>填写数字，不带货币符号；网站负责格式化。</x:v>
      </x:c>
      <x:c r="D8" s="74" t="str">
        <x:v>黄色输入</x:v>
      </x:c>
    </x:row>
    <x:row r="9" ht="21" customHeight="1">
      <x:c r="A9" s="38" t="str">
        <x:v>曝光/CTR/CVR变化</x:v>
      </x:c>
      <x:c r="B9" s="7" t="str">
        <x:v>商品数据</x:v>
      </x:c>
      <x:c r="C9" s="7" t="str">
        <x:v>按上一周期或验证节点填写变化；曝光/GMV用百分比，CTR/CVR用百分点；缺失留空。</x:v>
      </x:c>
      <x:c r="D9" s="74" t="str">
        <x:v>黄色输入</x:v>
      </x:c>
    </x:row>
    <x:row r="10" ht="21" customHeight="1">
      <x:c r="A10" s="38" t="str">
        <x:v>预警节点</x:v>
      </x:c>
      <x:c r="B10" s="7" t="str">
        <x:v>商品数据</x:v>
      </x:c>
      <x:c r="C10" s="7" t="str">
        <x:v>使用 T+1、T+3、T+7 标记异常数据的核查节点。</x:v>
      </x:c>
      <x:c r="D10" s="74" t="str">
        <x:v>黄色输入</x:v>
      </x:c>
    </x:row>
    <x:row r="11" ht="21" customHeight="1">
      <x:c r="A11" s="38" t="str">
        <x:v>验证状态</x:v>
      </x:c>
      <x:c r="B11" s="7" t="str">
        <x:v>运营动作</x:v>
      </x:c>
      <x:c r="C11" s="7" t="str">
        <x:v>只有真实 T+1/T+3/T+7 证据才能填有效或无效。</x:v>
      </x:c>
      <x:c r="D11" s="74" t="str">
        <x:v>黄色输入</x:v>
      </x:c>
    </x:row>
    <x:row r="12" ht="21" customHeight="1">
      <x:c r="A12" s="85" t="str">
        <x:v>动作进度</x:v>
      </x:c>
      <x:c r="B12" s="86" t="str">
        <x:v>店铺日汇总</x:v>
      </x:c>
      <x:c r="C12" s="86" t="str">
        <x:v>例如 6 / 9；表示有效验证数 / 总动作数。</x:v>
      </x:c>
      <x:c r="D12" s="76" t="str">
        <x:v>黄色输入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e0e9683743a4a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4" hidden="0" customWidth="1"/>
    <x:col min="4" max="4" width="12" hidden="0" customWidth="1"/>
  </x:cols>
  <x:sheetData>
    <x:row r="1" ht="28" customHeight="1">
      <x:c r="A1" s="173" t="str">
        <x:v>店铺字典｜网站筛选来源</x:v>
      </x:c>
      <x:c r="B1" s="173"/>
      <x:c r="C1" s="173"/>
      <x:c r="D1" s="173"/>
    </x:row>
    <x:row r="2" ht="32" customHeight="1">
      <x:c r="A2" s="174" t="str">
        <x:v>真实店铺上线前请把黄色示例名称替换为团队实际店铺；“全部店铺”只作为汇总口径，不是一个真实店铺。</x:v>
      </x:c>
      <x:c r="B2" s="174"/>
      <x:c r="C2" s="174"/>
      <x:c r="D2" s="174"/>
    </x:row>
    <x:row r="5" ht="30" customHeight="1">
      <x:c r="A5" s="260" t="str">
        <x:v>店铺名称</x:v>
      </x:c>
      <x:c r="B5" s="261" t="str">
        <x:v>店铺编码</x:v>
      </x:c>
      <x:c r="C5" s="261" t="str">
        <x:v>市场/用途</x:v>
      </x:c>
      <x:c r="D5" s="262" t="str">
        <x:v>状态</x:v>
      </x:c>
    </x:row>
    <x:row r="6">
      <x:c r="A6" s="304" t="str">
        <x:v>全部店铺</x:v>
      </x:c>
      <x:c r="B6" s="299" t="str">
        <x:v>ALL</x:v>
      </x:c>
      <x:c r="C6" s="299" t="str">
        <x:v>跨店汇总口径</x:v>
      </x:c>
      <x:c r="D6" s="305" t="str">
        <x:v>汇总</x:v>
      </x:c>
    </x:row>
    <x:row r="7">
      <x:c r="A7" s="263" t="str">
        <x:v>US-旗舰店</x:v>
      </x:c>
      <x:c r="B7" s="264" t="str">
        <x:v>US-MAIN</x:v>
      </x:c>
      <x:c r="C7" s="264" t="str">
        <x:v>美国站主店</x:v>
      </x:c>
      <x:c r="D7" s="265" t="str">
        <x:v>示例</x:v>
      </x:c>
    </x:row>
    <x:row r="8">
      <x:c r="A8" s="263" t="str">
        <x:v>US-日用店</x:v>
      </x:c>
      <x:c r="B8" s="264" t="str">
        <x:v>US-DAY</x:v>
      </x:c>
      <x:c r="C8" s="264" t="str">
        <x:v>美国站日用店</x:v>
      </x:c>
      <x:c r="D8" s="265" t="str">
        <x:v>示例</x:v>
      </x:c>
    </x:row>
    <x:row r="9">
      <x:c r="A9" s="266" t="str">
        <x:v>TH-主店</x:v>
      </x:c>
      <x:c r="B9" s="267" t="str">
        <x:v>TH-MAIN</x:v>
      </x:c>
      <x:c r="C9" s="267" t="str">
        <x:v>泰国站主店</x:v>
      </x:c>
      <x:c r="D9" s="268" t="str">
        <x:v>示例</x:v>
      </x:c>
    </x:row>
    <x:row r="11" ht="34" customHeight="1">
      <x:c r="A11" s="177" t="str">
        <x:v>填写规则：网站顶部的“全部店铺 / 单店”筛选，应与本表店铺名称、店铺日汇总、商品数据、运营动作中的店铺字段完全一致。</x:v>
      </x:c>
      <x:c r="B11" s="177"/>
      <x:c r="C11" s="177"/>
      <x:c r="D11" s="177"/>
    </x:row>
  </x:sheetData>
  <x:mergeCells>
    <x:mergeCell ref="A1:D1"/>
    <x:mergeCell ref="A2:D2"/>
    <x:mergeCell ref="A11:D11"/>
  </x:mergeCells>
  <x:pageMargins left="0.7" right="0.7" top="0.75" bottom="0.75" header="0.3" footer="0.3"/>
  <x:tableParts count="4">
    <x:tablePart xmlns:r="http://schemas.openxmlformats.org/officeDocument/2006/relationships" r:id="R02a9cc53e4e24981"/>
    <x:tablePart xmlns:r="http://schemas.openxmlformats.org/officeDocument/2006/relationships" r:id="R79f1b320cb7942c3"/>
    <x:tablePart xmlns:r="http://schemas.openxmlformats.org/officeDocument/2006/relationships" r:id="R06000813a4584e31"/>
    <x:tablePart xmlns:r="http://schemas.openxmlformats.org/officeDocument/2006/relationships" r:id="Rd4a6ad3fcb024f8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24" hidden="0" customWidth="1"/>
    <x:col min="4" max="4" width="18" hidden="0" customWidth="1"/>
    <x:col min="5" max="5" width="16" hidden="0" customWidth="1"/>
    <x:col min="6" max="6" width="30" hidden="0" customWidth="1"/>
  </x:cols>
  <x:sheetData>
    <x:row r="1" ht="28" customHeight="1">
      <x:c r="A1" s="173" t="str">
        <x:v>五组链接对比排行｜网站经营总览</x:v>
      </x:c>
      <x:c r="B1" s="173"/>
      <x:c r="C1" s="173"/>
      <x:c r="D1" s="173"/>
      <x:c r="E1" s="173"/>
      <x:c r="F1" s="173"/>
    </x:row>
    <x:row r="2" ht="32" customHeight="1">
      <x:c r="A2" s="174" t="str">
        <x:v>蓝色区域为公式结果；公式从“商品数据”读取，运营只需更新商品数据。缺少上一周期数据时，GMV/CVR 变化不要填 0。</x:v>
      </x:c>
      <x:c r="B2" s="174"/>
      <x:c r="C2" s="174"/>
      <x:c r="D2" s="174"/>
      <x:c r="E2" s="174"/>
      <x:c r="F2" s="174"/>
    </x:row>
    <x:row r="4">
      <x:c r="A4" s="178" t="str">
        <x:v>销量 Top5｜按成交销量降序</x:v>
      </x:c>
      <x:c r="B4" s="178"/>
      <x:c r="C4" s="178"/>
      <x:c r="D4" s="178"/>
      <x:c r="E4" s="178"/>
      <x:c r="F4" s="178"/>
    </x:row>
    <x:row r="5" ht="30" customHeight="1">
      <x:c r="A5" s="175" t="str">
        <x:v>排名</x:v>
      </x:c>
      <x:c r="B5" s="175" t="str">
        <x:v>商品ID</x:v>
      </x:c>
      <x:c r="C5" s="175" t="str">
        <x:v>商品名称</x:v>
      </x:c>
      <x:c r="D5" s="175" t="str">
        <x:v>店铺</x:v>
      </x:c>
      <x:c r="E5" s="175" t="str">
        <x:v>指标值</x:v>
      </x:c>
      <x:c r="F5" s="175" t="str">
        <x:v>口径</x:v>
      </x:c>
    </x:row>
    <x:row r="6" ht="22" customHeight="1">
      <x:c r="A6" s="227" t="n">
        <x:f>ROW()-5</x:f>
        <x:v>1</x:v>
      </x:c>
      <x:c r="B6" s="228" t="n">
        <x:f>INDEX('商品数据'!$C$6:$C$11,MATCH($E6,'商品数据'!$I$6:$I$11,0))</x:f>
        <x:v>100176</x:v>
      </x:c>
      <x:c r="C6" s="228" t="str">
        <x:f>INDEX('商品数据'!$D$6:$D$11,MATCH($E6,'商品数据'!$I$6:$I$11,0))</x:f>
        <x:v>3D磁吸积木套装</x:v>
      </x:c>
      <x:c r="D6" s="228" t="str">
        <x:f>INDEX('商品数据'!$B$6:$B$11,MATCH($E6,'商品数据'!$I$6:$I$11,0))</x:f>
        <x:v>US-旗舰店</x:v>
      </x:c>
      <x:c r="E6" s="229" t="n">
        <x:f>LARGE('商品数据'!$I$6:$I$11,ROW()-5)</x:f>
        <x:v>428</x:v>
      </x:c>
      <x:c r="F6" s="230" t="str">
        <x:v>按成交销量降序</x:v>
      </x:c>
    </x:row>
    <x:row r="7" ht="22" customHeight="1">
      <x:c r="A7" s="231" t="n">
        <x:f>ROW()-5</x:f>
        <x:v>2</x:v>
      </x:c>
      <x:c r="B7" s="232" t="n">
        <x:f>INDEX('商品数据'!$C$6:$C$11,MATCH($E7,'商品数据'!$I$6:$I$11,0))</x:f>
        <x:v>100238</x:v>
      </x:c>
      <x:c r="C7" s="232" t="str">
        <x:f>INDEX('商品数据'!$D$6:$D$11,MATCH($E7,'商品数据'!$I$6:$I$11,0))</x:f>
        <x:v>儿童户外泡泡机</x:v>
      </x:c>
      <x:c r="D7" s="232" t="str">
        <x:f>INDEX('商品数据'!$B$6:$B$11,MATCH($E7,'商品数据'!$I$6:$I$11,0))</x:f>
        <x:v>US-日用店</x:v>
      </x:c>
      <x:c r="E7" s="233" t="n">
        <x:f>LARGE('商品数据'!$I$6:$I$11,ROW()-5)</x:f>
        <x:v>198</x:v>
      </x:c>
      <x:c r="F7" s="234" t="str">
        <x:v>按成交销量降序</x:v>
      </x:c>
    </x:row>
    <x:row r="8" ht="22" customHeight="1">
      <x:c r="A8" s="231" t="n">
        <x:f>ROW()-5</x:f>
        <x:v>3</x:v>
      </x:c>
      <x:c r="B8" s="232" t="n">
        <x:f>INDEX('商品数据'!$C$6:$C$11,MATCH($E8,'商品数据'!$I$6:$I$11,0))</x:f>
        <x:v>100091</x:v>
      </x:c>
      <x:c r="C8" s="232" t="str">
        <x:f>INDEX('商品数据'!$D$6:$D$11,MATCH($E8,'商品数据'!$I$6:$I$11,0))</x:f>
        <x:v>益智拼图礼盒</x:v>
      </x:c>
      <x:c r="D8" s="232" t="str">
        <x:f>INDEX('商品数据'!$B$6:$B$11,MATCH($E8,'商品数据'!$I$6:$I$11,0))</x:f>
        <x:v>TH-主店</x:v>
      </x:c>
      <x:c r="E8" s="233" t="n">
        <x:f>LARGE('商品数据'!$I$6:$I$11,ROW()-5)</x:f>
        <x:v>176</x:v>
      </x:c>
      <x:c r="F8" s="234" t="str">
        <x:v>按成交销量降序</x:v>
      </x:c>
    </x:row>
    <x:row r="9" ht="22" customHeight="1">
      <x:c r="A9" s="231" t="n">
        <x:f>ROW()-5</x:f>
        <x:v>4</x:v>
      </x:c>
      <x:c r="B9" s="232" t="n">
        <x:f>INDEX('商品数据'!$C$6:$C$11,MATCH($E9,'商品数据'!$I$6:$I$11,0))</x:f>
        <x:v>100314</x:v>
      </x:c>
      <x:c r="C9" s="232" t="str">
        <x:f>INDEX('商品数据'!$D$6:$D$11,MATCH($E9,'商品数据'!$I$6:$I$11,0))</x:f>
        <x:v>儿童绘画水彩笔</x:v>
      </x:c>
      <x:c r="D9" s="232" t="str">
        <x:f>INDEX('商品数据'!$B$6:$B$11,MATCH($E9,'商品数据'!$I$6:$I$11,0))</x:f>
        <x:v>US-旗舰店</x:v>
      </x:c>
      <x:c r="E9" s="233" t="n">
        <x:f>LARGE('商品数据'!$I$6:$I$11,ROW()-5)</x:f>
        <x:v>142</x:v>
      </x:c>
      <x:c r="F9" s="234" t="str">
        <x:v>按成交销量降序</x:v>
      </x:c>
    </x:row>
    <x:row r="10" ht="22" customHeight="1">
      <x:c r="A10" s="235" t="n">
        <x:f>ROW()-5</x:f>
        <x:v>5</x:v>
      </x:c>
      <x:c r="B10" s="236" t="n">
        <x:f>INDEX('商品数据'!$C$6:$C$11,MATCH($E10,'商品数据'!$I$6:$I$11,0))</x:f>
        <x:v>100407</x:v>
      </x:c>
      <x:c r="C10" s="236" t="str">
        <x:f>INDEX('商品数据'!$D$6:$D$11,MATCH($E10,'商品数据'!$I$6:$I$11,0))</x:f>
        <x:v>磁力迷宫玩具</x:v>
      </x:c>
      <x:c r="D10" s="236" t="str">
        <x:f>INDEX('商品数据'!$B$6:$B$11,MATCH($E10,'商品数据'!$I$6:$I$11,0))</x:f>
        <x:v>TH-主店</x:v>
      </x:c>
      <x:c r="E10" s="237" t="n">
        <x:f>LARGE('商品数据'!$I$6:$I$11,ROW()-5)</x:f>
        <x:v>94</x:v>
      </x:c>
      <x:c r="F10" s="238" t="str">
        <x:v>按成交销量降序</x:v>
      </x:c>
    </x:row>
    <x:row r="12">
      <x:c r="A12" s="178" t="str">
        <x:v>全店 GMV Top5｜按商品链接 GMV 降序</x:v>
      </x:c>
      <x:c r="B12" s="178"/>
      <x:c r="C12" s="178"/>
      <x:c r="D12" s="178"/>
      <x:c r="E12" s="178"/>
      <x:c r="F12" s="178"/>
    </x:row>
    <x:row r="13">
      <x:c r="A13" s="241" t="str">
        <x:v>排名</x:v>
      </x:c>
      <x:c r="B13" s="241" t="str">
        <x:v>商品ID</x:v>
      </x:c>
      <x:c r="C13" s="241" t="str">
        <x:v>商品名称</x:v>
      </x:c>
      <x:c r="D13" s="241" t="str">
        <x:v>店铺</x:v>
      </x:c>
      <x:c r="E13" s="241" t="str">
        <x:v>指标值</x:v>
      </x:c>
      <x:c r="F13" s="241" t="str">
        <x:v>口径</x:v>
      </x:c>
    </x:row>
    <x:row r="14" ht="22" customHeight="1">
      <x:c r="A14" s="227" t="n">
        <x:f>ROW()-13</x:f>
        <x:v>1</x:v>
      </x:c>
      <x:c r="B14" s="228" t="n">
        <x:f>INDEX('商品数据'!$C$6:$C$11,MATCH($E14,'商品数据'!$J$6:$J$11,0))</x:f>
        <x:v>100176</x:v>
      </x:c>
      <x:c r="C14" s="228" t="str">
        <x:f>INDEX('商品数据'!$D$6:$D$11,MATCH($E14,'商品数据'!$J$6:$J$11,0))</x:f>
        <x:v>3D磁吸积木套装</x:v>
      </x:c>
      <x:c r="D14" s="228" t="str">
        <x:f>INDEX('商品数据'!$B$6:$B$11,MATCH($E14,'商品数据'!$J$6:$J$11,0))</x:f>
        <x:v>US-旗舰店</x:v>
      </x:c>
      <x:c r="E14" s="242" t="n">
        <x:f>LARGE('商品数据'!$J$6:$J$11,ROW()-13)</x:f>
        <x:v>42680</x:v>
      </x:c>
      <x:c r="F14" s="230" t="str">
        <x:v>按商品链接 GMV 降序</x:v>
      </x:c>
    </x:row>
    <x:row r="15" ht="22" customHeight="1">
      <x:c r="A15" s="231" t="n">
        <x:f>ROW()-13</x:f>
        <x:v>2</x:v>
      </x:c>
      <x:c r="B15" s="232" t="n">
        <x:f>INDEX('商品数据'!$C$6:$C$11,MATCH($E15,'商品数据'!$J$6:$J$11,0))</x:f>
        <x:v>100238</x:v>
      </x:c>
      <x:c r="C15" s="232" t="str">
        <x:f>INDEX('商品数据'!$D$6:$D$11,MATCH($E15,'商品数据'!$J$6:$J$11,0))</x:f>
        <x:v>儿童户外泡泡机</x:v>
      </x:c>
      <x:c r="D15" s="232" t="str">
        <x:f>INDEX('商品数据'!$B$6:$B$11,MATCH($E15,'商品数据'!$J$6:$J$11,0))</x:f>
        <x:v>US-日用店</x:v>
      </x:c>
      <x:c r="E15" s="243" t="n">
        <x:f>LARGE('商品数据'!$J$6:$J$11,ROW()-13)</x:f>
        <x:v>18420</x:v>
      </x:c>
      <x:c r="F15" s="234" t="str">
        <x:v>按商品链接 GMV 降序</x:v>
      </x:c>
    </x:row>
    <x:row r="16" ht="22" customHeight="1">
      <x:c r="A16" s="231" t="n">
        <x:f>ROW()-13</x:f>
        <x:v>3</x:v>
      </x:c>
      <x:c r="B16" s="232" t="n">
        <x:f>INDEX('商品数据'!$C$6:$C$11,MATCH($E16,'商品数据'!$J$6:$J$11,0))</x:f>
        <x:v>100091</x:v>
      </x:c>
      <x:c r="C16" s="232" t="str">
        <x:f>INDEX('商品数据'!$D$6:$D$11,MATCH($E16,'商品数据'!$J$6:$J$11,0))</x:f>
        <x:v>益智拼图礼盒</x:v>
      </x:c>
      <x:c r="D16" s="232" t="str">
        <x:f>INDEX('商品数据'!$B$6:$B$11,MATCH($E16,'商品数据'!$J$6:$J$11,0))</x:f>
        <x:v>TH-主店</x:v>
      </x:c>
      <x:c r="E16" s="243" t="n">
        <x:f>LARGE('商品数据'!$J$6:$J$11,ROW()-13)</x:f>
        <x:v>15760</x:v>
      </x:c>
      <x:c r="F16" s="234" t="str">
        <x:v>按商品链接 GMV 降序</x:v>
      </x:c>
    </x:row>
    <x:row r="17" ht="22" customHeight="1">
      <x:c r="A17" s="231" t="n">
        <x:f>ROW()-13</x:f>
        <x:v>4</x:v>
      </x:c>
      <x:c r="B17" s="232" t="n">
        <x:f>INDEX('商品数据'!$C$6:$C$11,MATCH($E17,'商品数据'!$J$6:$J$11,0))</x:f>
        <x:v>100314</x:v>
      </x:c>
      <x:c r="C17" s="232" t="str">
        <x:f>INDEX('商品数据'!$D$6:$D$11,MATCH($E17,'商品数据'!$J$6:$J$11,0))</x:f>
        <x:v>儿童绘画水彩笔</x:v>
      </x:c>
      <x:c r="D17" s="232" t="str">
        <x:f>INDEX('商品数据'!$B$6:$B$11,MATCH($E17,'商品数据'!$J$6:$J$11,0))</x:f>
        <x:v>US-旗舰店</x:v>
      </x:c>
      <x:c r="E17" s="243" t="n">
        <x:f>LARGE('商品数据'!$J$6:$J$11,ROW()-13)</x:f>
        <x:v>12360</x:v>
      </x:c>
      <x:c r="F17" s="234" t="str">
        <x:v>按商品链接 GMV 降序</x:v>
      </x:c>
    </x:row>
    <x:row r="18" ht="22" customHeight="1">
      <x:c r="A18" s="235" t="n">
        <x:f>ROW()-13</x:f>
        <x:v>5</x:v>
      </x:c>
      <x:c r="B18" s="236" t="n">
        <x:f>INDEX('商品数据'!$C$6:$C$11,MATCH($E18,'商品数据'!$J$6:$J$11,0))</x:f>
        <x:v>100407</x:v>
      </x:c>
      <x:c r="C18" s="236" t="str">
        <x:f>INDEX('商品数据'!$D$6:$D$11,MATCH($E18,'商品数据'!$J$6:$J$11,0))</x:f>
        <x:v>磁力迷宫玩具</x:v>
      </x:c>
      <x:c r="D18" s="236" t="str">
        <x:f>INDEX('商品数据'!$B$6:$B$11,MATCH($E18,'商品数据'!$J$6:$J$11,0))</x:f>
        <x:v>TH-主店</x:v>
      </x:c>
      <x:c r="E18" s="244" t="n">
        <x:f>LARGE('商品数据'!$J$6:$J$11,ROW()-13)</x:f>
        <x:v>8120</x:v>
      </x:c>
      <x:c r="F18" s="238" t="str">
        <x:v>按商品链接 GMV 降序</x:v>
      </x:c>
    </x:row>
    <x:row r="20">
      <x:c r="A20" s="178" t="str">
        <x:v>GMV 上涨 Top5｜按 GMV 环比/上一周期变化降序，数值单位为 %</x:v>
      </x:c>
      <x:c r="B20" s="178"/>
      <x:c r="C20" s="178"/>
      <x:c r="D20" s="178"/>
      <x:c r="E20" s="178"/>
      <x:c r="F20" s="178"/>
    </x:row>
    <x:row r="21">
      <x:c r="A21" s="247" t="str">
        <x:v>排名</x:v>
      </x:c>
      <x:c r="B21" s="247" t="str">
        <x:v>商品ID</x:v>
      </x:c>
      <x:c r="C21" s="247" t="str">
        <x:v>商品名称</x:v>
      </x:c>
      <x:c r="D21" s="247" t="str">
        <x:v>店铺</x:v>
      </x:c>
      <x:c r="E21" s="247" t="str">
        <x:v>指标值</x:v>
      </x:c>
      <x:c r="F21" s="247" t="str">
        <x:v>口径</x:v>
      </x:c>
    </x:row>
    <x:row r="22" ht="22" customHeight="1">
      <x:c r="A22" s="227" t="n">
        <x:f>ROW()-21</x:f>
        <x:v>1</x:v>
      </x:c>
      <x:c r="B22" s="228" t="n">
        <x:f>INDEX('商品数据'!$C$6:$C$11,MATCH($E22,'商品数据'!$K$6:$K$11,0))</x:f>
        <x:v>100314</x:v>
      </x:c>
      <x:c r="C22" s="228" t="str">
        <x:f>INDEX('商品数据'!$D$6:$D$11,MATCH($E22,'商品数据'!$K$6:$K$11,0))</x:f>
        <x:v>儿童绘画水彩笔</x:v>
      </x:c>
      <x:c r="D22" s="228" t="str">
        <x:f>INDEX('商品数据'!$B$6:$B$11,MATCH($E22,'商品数据'!$K$6:$K$11,0))</x:f>
        <x:v>US-旗舰店</x:v>
      </x:c>
      <x:c r="E22" s="248" t="n">
        <x:f>LARGE('商品数据'!$K$6:$K$11,ROW()-21)</x:f>
        <x:v>24.1</x:v>
      </x:c>
      <x:c r="F22" s="230" t="str">
        <x:v>按 GMV 环比/上一周期变化降序，数值单位为 %</x:v>
      </x:c>
    </x:row>
    <x:row r="23" ht="22" customHeight="1">
      <x:c r="A23" s="231" t="n">
        <x:f>ROW()-21</x:f>
        <x:v>2</x:v>
      </x:c>
      <x:c r="B23" s="232" t="n">
        <x:f>INDEX('商品数据'!$C$6:$C$11,MATCH($E23,'商品数据'!$K$6:$K$11,0))</x:f>
        <x:v>100176</x:v>
      </x:c>
      <x:c r="C23" s="232" t="str">
        <x:f>INDEX('商品数据'!$D$6:$D$11,MATCH($E23,'商品数据'!$K$6:$K$11,0))</x:f>
        <x:v>3D磁吸积木套装</x:v>
      </x:c>
      <x:c r="D23" s="232" t="str">
        <x:f>INDEX('商品数据'!$B$6:$B$11,MATCH($E23,'商品数据'!$K$6:$K$11,0))</x:f>
        <x:v>US-旗舰店</x:v>
      </x:c>
      <x:c r="E23" s="249" t="n">
        <x:f>LARGE('商品数据'!$K$6:$K$11,ROW()-21)</x:f>
        <x:v>18.6</x:v>
      </x:c>
      <x:c r="F23" s="234" t="str">
        <x:v>按 GMV 环比/上一周期变化降序，数值单位为 %</x:v>
      </x:c>
    </x:row>
    <x:row r="24" ht="22" customHeight="1">
      <x:c r="A24" s="231" t="n">
        <x:f>ROW()-21</x:f>
        <x:v>3</x:v>
      </x:c>
      <x:c r="B24" s="232" t="n">
        <x:f>INDEX('商品数据'!$C$6:$C$11,MATCH($E24,'商品数据'!$K$6:$K$11,0))</x:f>
        <x:v>100091</x:v>
      </x:c>
      <x:c r="C24" s="232" t="str">
        <x:f>INDEX('商品数据'!$D$6:$D$11,MATCH($E24,'商品数据'!$K$6:$K$11,0))</x:f>
        <x:v>益智拼图礼盒</x:v>
      </x:c>
      <x:c r="D24" s="232" t="str">
        <x:f>INDEX('商品数据'!$B$6:$B$11,MATCH($E24,'商品数据'!$K$6:$K$11,0))</x:f>
        <x:v>TH-主店</x:v>
      </x:c>
      <x:c r="E24" s="249" t="n">
        <x:f>LARGE('商品数据'!$K$6:$K$11,ROW()-21)</x:f>
        <x:v>6.8</x:v>
      </x:c>
      <x:c r="F24" s="234" t="str">
        <x:v>按 GMV 环比/上一周期变化降序，数值单位为 %</x:v>
      </x:c>
    </x:row>
    <x:row r="25" ht="22" customHeight="1">
      <x:c r="A25" s="231" t="n">
        <x:f>ROW()-21</x:f>
        <x:v>4</x:v>
      </x:c>
      <x:c r="B25" s="232" t="n">
        <x:f>INDEX('商品数据'!$C$6:$C$11,MATCH($E25,'商品数据'!$K$6:$K$11,0))</x:f>
        <x:v>100512</x:v>
      </x:c>
      <x:c r="C25" s="232" t="str">
        <x:f>INDEX('商品数据'!$D$6:$D$11,MATCH($E25,'商品数据'!$K$6:$K$11,0))</x:f>
        <x:v>折叠儿童画板</x:v>
      </x:c>
      <x:c r="D25" s="232" t="str">
        <x:f>INDEX('商品数据'!$B$6:$B$11,MATCH($E25,'商品数据'!$K$6:$K$11,0))</x:f>
        <x:v>US-日用店</x:v>
      </x:c>
      <x:c r="E25" s="249" t="n">
        <x:f>LARGE('商品数据'!$K$6:$K$11,ROW()-21)</x:f>
        <x:v>-3.7</x:v>
      </x:c>
      <x:c r="F25" s="234" t="str">
        <x:v>按 GMV 环比/上一周期变化降序，数值单位为 %</x:v>
      </x:c>
    </x:row>
    <x:row r="26" ht="22" customHeight="1">
      <x:c r="A26" s="235" t="n">
        <x:f>ROW()-21</x:f>
        <x:v>5</x:v>
      </x:c>
      <x:c r="B26" s="236" t="n">
        <x:f>INDEX('商品数据'!$C$6:$C$11,MATCH($E26,'商品数据'!$K$6:$K$11,0))</x:f>
        <x:v>100238</x:v>
      </x:c>
      <x:c r="C26" s="236" t="str">
        <x:f>INDEX('商品数据'!$D$6:$D$11,MATCH($E26,'商品数据'!$K$6:$K$11,0))</x:f>
        <x:v>儿童户外泡泡机</x:v>
      </x:c>
      <x:c r="D26" s="236" t="str">
        <x:f>INDEX('商品数据'!$B$6:$B$11,MATCH($E26,'商品数据'!$K$6:$K$11,0))</x:f>
        <x:v>US-日用店</x:v>
      </x:c>
      <x:c r="E26" s="250" t="n">
        <x:f>LARGE('商品数据'!$K$6:$K$11,ROW()-21)</x:f>
        <x:v>-12.4</x:v>
      </x:c>
      <x:c r="F26" s="238" t="str">
        <x:v>按 GMV 环比/上一周期变化降序，数值单位为 %</x:v>
      </x:c>
    </x:row>
    <x:row r="28">
      <x:c r="A28" s="178" t="str">
        <x:v>GMV 下降 Top5｜按 GMV 环比/上一周期变化升序，数值单位为 %</x:v>
      </x:c>
      <x:c r="B28" s="178"/>
      <x:c r="C28" s="178"/>
      <x:c r="D28" s="178"/>
      <x:c r="E28" s="178"/>
      <x:c r="F28" s="178"/>
    </x:row>
    <x:row r="29">
      <x:c r="A29" s="253" t="str">
        <x:v>排名</x:v>
      </x:c>
      <x:c r="B29" s="253" t="str">
        <x:v>商品ID</x:v>
      </x:c>
      <x:c r="C29" s="253" t="str">
        <x:v>商品名称</x:v>
      </x:c>
      <x:c r="D29" s="253" t="str">
        <x:v>店铺</x:v>
      </x:c>
      <x:c r="E29" s="253" t="str">
        <x:v>指标值</x:v>
      </x:c>
      <x:c r="F29" s="253" t="str">
        <x:v>口径</x:v>
      </x:c>
    </x:row>
    <x:row r="30" ht="22" customHeight="1">
      <x:c r="A30" s="227" t="n">
        <x:f>ROW()-29</x:f>
        <x:v>1</x:v>
      </x:c>
      <x:c r="B30" s="228" t="n">
        <x:f>INDEX('商品数据'!$C$6:$C$11,MATCH($E30,'商品数据'!$K$6:$K$11,0))</x:f>
        <x:v>100407</x:v>
      </x:c>
      <x:c r="C30" s="228" t="str">
        <x:f>INDEX('商品数据'!$D$6:$D$11,MATCH($E30,'商品数据'!$K$6:$K$11,0))</x:f>
        <x:v>磁力迷宫玩具</x:v>
      </x:c>
      <x:c r="D30" s="228" t="str">
        <x:f>INDEX('商品数据'!$B$6:$B$11,MATCH($E30,'商品数据'!$K$6:$K$11,0))</x:f>
        <x:v>TH-主店</x:v>
      </x:c>
      <x:c r="E30" s="248" t="n">
        <x:f>SMALL('商品数据'!$K$6:$K$11,ROW()-29)</x:f>
        <x:v>-26.5</x:v>
      </x:c>
      <x:c r="F30" s="230" t="str">
        <x:v>按 GMV 环比/上一周期变化升序，数值单位为 %</x:v>
      </x:c>
    </x:row>
    <x:row r="31" ht="22" customHeight="1">
      <x:c r="A31" s="231" t="n">
        <x:f>ROW()-29</x:f>
        <x:v>2</x:v>
      </x:c>
      <x:c r="B31" s="232" t="n">
        <x:f>INDEX('商品数据'!$C$6:$C$11,MATCH($E31,'商品数据'!$K$6:$K$11,0))</x:f>
        <x:v>100238</x:v>
      </x:c>
      <x:c r="C31" s="232" t="str">
        <x:f>INDEX('商品数据'!$D$6:$D$11,MATCH($E31,'商品数据'!$K$6:$K$11,0))</x:f>
        <x:v>儿童户外泡泡机</x:v>
      </x:c>
      <x:c r="D31" s="232" t="str">
        <x:f>INDEX('商品数据'!$B$6:$B$11,MATCH($E31,'商品数据'!$K$6:$K$11,0))</x:f>
        <x:v>US-日用店</x:v>
      </x:c>
      <x:c r="E31" s="249" t="n">
        <x:f>SMALL('商品数据'!$K$6:$K$11,ROW()-29)</x:f>
        <x:v>-12.4</x:v>
      </x:c>
      <x:c r="F31" s="234" t="str">
        <x:v>按 GMV 环比/上一周期变化升序，数值单位为 %</x:v>
      </x:c>
    </x:row>
    <x:row r="32" ht="22" customHeight="1">
      <x:c r="A32" s="231" t="n">
        <x:f>ROW()-29</x:f>
        <x:v>3</x:v>
      </x:c>
      <x:c r="B32" s="232" t="n">
        <x:f>INDEX('商品数据'!$C$6:$C$11,MATCH($E32,'商品数据'!$K$6:$K$11,0))</x:f>
        <x:v>100512</x:v>
      </x:c>
      <x:c r="C32" s="232" t="str">
        <x:f>INDEX('商品数据'!$D$6:$D$11,MATCH($E32,'商品数据'!$K$6:$K$11,0))</x:f>
        <x:v>折叠儿童画板</x:v>
      </x:c>
      <x:c r="D32" s="232" t="str">
        <x:f>INDEX('商品数据'!$B$6:$B$11,MATCH($E32,'商品数据'!$K$6:$K$11,0))</x:f>
        <x:v>US-日用店</x:v>
      </x:c>
      <x:c r="E32" s="249" t="n">
        <x:f>SMALL('商品数据'!$K$6:$K$11,ROW()-29)</x:f>
        <x:v>-3.7</x:v>
      </x:c>
      <x:c r="F32" s="234" t="str">
        <x:v>按 GMV 环比/上一周期变化升序，数值单位为 %</x:v>
      </x:c>
    </x:row>
    <x:row r="33" ht="22" customHeight="1">
      <x:c r="A33" s="231" t="n">
        <x:f>ROW()-29</x:f>
        <x:v>4</x:v>
      </x:c>
      <x:c r="B33" s="232" t="n">
        <x:f>INDEX('商品数据'!$C$6:$C$11,MATCH($E33,'商品数据'!$K$6:$K$11,0))</x:f>
        <x:v>100091</x:v>
      </x:c>
      <x:c r="C33" s="232" t="str">
        <x:f>INDEX('商品数据'!$D$6:$D$11,MATCH($E33,'商品数据'!$K$6:$K$11,0))</x:f>
        <x:v>益智拼图礼盒</x:v>
      </x:c>
      <x:c r="D33" s="232" t="str">
        <x:f>INDEX('商品数据'!$B$6:$B$11,MATCH($E33,'商品数据'!$K$6:$K$11,0))</x:f>
        <x:v>TH-主店</x:v>
      </x:c>
      <x:c r="E33" s="249" t="n">
        <x:f>SMALL('商品数据'!$K$6:$K$11,ROW()-29)</x:f>
        <x:v>6.8</x:v>
      </x:c>
      <x:c r="F33" s="234" t="str">
        <x:v>按 GMV 环比/上一周期变化升序，数值单位为 %</x:v>
      </x:c>
    </x:row>
    <x:row r="34" ht="22" customHeight="1">
      <x:c r="A34" s="235" t="n">
        <x:f>ROW()-29</x:f>
        <x:v>5</x:v>
      </x:c>
      <x:c r="B34" s="236" t="n">
        <x:f>INDEX('商品数据'!$C$6:$C$11,MATCH($E34,'商品数据'!$K$6:$K$11,0))</x:f>
        <x:v>100176</x:v>
      </x:c>
      <x:c r="C34" s="236" t="str">
        <x:f>INDEX('商品数据'!$D$6:$D$11,MATCH($E34,'商品数据'!$K$6:$K$11,0))</x:f>
        <x:v>3D磁吸积木套装</x:v>
      </x:c>
      <x:c r="D34" s="236" t="str">
        <x:f>INDEX('商品数据'!$B$6:$B$11,MATCH($E34,'商品数据'!$K$6:$K$11,0))</x:f>
        <x:v>US-旗舰店</x:v>
      </x:c>
      <x:c r="E34" s="250" t="n">
        <x:f>SMALL('商品数据'!$K$6:$K$11,ROW()-29)</x:f>
        <x:v>18.6</x:v>
      </x:c>
      <x:c r="F34" s="238" t="str">
        <x:v>按 GMV 环比/上一周期变化升序，数值单位为 %</x:v>
      </x:c>
    </x:row>
    <x:row r="36">
      <x:c r="A36" s="178" t="str">
        <x:v>CVR 下降 Top5｜按 CVR 变化百分点升序</x:v>
      </x:c>
      <x:c r="B36" s="178"/>
      <x:c r="C36" s="178"/>
      <x:c r="D36" s="178"/>
      <x:c r="E36" s="178"/>
      <x:c r="F36" s="178"/>
    </x:row>
    <x:row r="37">
      <x:c r="A37" s="256" t="str">
        <x:v>排名</x:v>
      </x:c>
      <x:c r="B37" s="256" t="str">
        <x:v>商品ID</x:v>
      </x:c>
      <x:c r="C37" s="256" t="str">
        <x:v>商品名称</x:v>
      </x:c>
      <x:c r="D37" s="256" t="str">
        <x:v>店铺</x:v>
      </x:c>
      <x:c r="E37" s="256" t="str">
        <x:v>指标值</x:v>
      </x:c>
      <x:c r="F37" s="256" t="str">
        <x:v>口径</x:v>
      </x:c>
    </x:row>
    <x:row r="38" ht="22" customHeight="1">
      <x:c r="A38" s="227" t="n">
        <x:f>ROW()-37</x:f>
        <x:v>1</x:v>
      </x:c>
      <x:c r="B38" s="228" t="n">
        <x:f>INDEX('商品数据'!$C$6:$C$11,MATCH($E38,'商品数据'!$N$6:$N$11,0))</x:f>
        <x:v>100407</x:v>
      </x:c>
      <x:c r="C38" s="228" t="str">
        <x:f>INDEX('商品数据'!$D$6:$D$11,MATCH($E38,'商品数据'!$N$6:$N$11,0))</x:f>
        <x:v>磁力迷宫玩具</x:v>
      </x:c>
      <x:c r="D38" s="228" t="str">
        <x:f>INDEX('商品数据'!$B$6:$B$11,MATCH($E38,'商品数据'!$N$6:$N$11,0))</x:f>
        <x:v>TH-主店</x:v>
      </x:c>
      <x:c r="E38" s="257" t="n">
        <x:f>SMALL('商品数据'!$N$6:$N$11,ROW()-37)</x:f>
        <x:v>-1.46</x:v>
      </x:c>
      <x:c r="F38" s="230" t="str">
        <x:v>按 CVR 变化百分点升序</x:v>
      </x:c>
    </x:row>
    <x:row r="39" ht="22" customHeight="1">
      <x:c r="A39" s="231" t="n">
        <x:f>ROW()-37</x:f>
        <x:v>2</x:v>
      </x:c>
      <x:c r="B39" s="232" t="n">
        <x:f>INDEX('商品数据'!$C$6:$C$11,MATCH($E39,'商品数据'!$N$6:$N$11,0))</x:f>
        <x:v>100238</x:v>
      </x:c>
      <x:c r="C39" s="232" t="str">
        <x:f>INDEX('商品数据'!$D$6:$D$11,MATCH($E39,'商品数据'!$N$6:$N$11,0))</x:f>
        <x:v>儿童户外泡泡机</x:v>
      </x:c>
      <x:c r="D39" s="232" t="str">
        <x:f>INDEX('商品数据'!$B$6:$B$11,MATCH($E39,'商品数据'!$N$6:$N$11,0))</x:f>
        <x:v>US-日用店</x:v>
      </x:c>
      <x:c r="E39" s="258" t="n">
        <x:f>SMALL('商品数据'!$N$6:$N$11,ROW()-37)</x:f>
        <x:v>-1.18</x:v>
      </x:c>
      <x:c r="F39" s="234" t="str">
        <x:v>按 CVR 变化百分点升序</x:v>
      </x:c>
    </x:row>
    <x:row r="40" ht="22" customHeight="1">
      <x:c r="A40" s="231" t="n">
        <x:f>ROW()-37</x:f>
        <x:v>3</x:v>
      </x:c>
      <x:c r="B40" s="232" t="n">
        <x:f>INDEX('商品数据'!$C$6:$C$11,MATCH($E40,'商品数据'!$N$6:$N$11,0))</x:f>
        <x:v>100091</x:v>
      </x:c>
      <x:c r="C40" s="232" t="str">
        <x:f>INDEX('商品数据'!$D$6:$D$11,MATCH($E40,'商品数据'!$N$6:$N$11,0))</x:f>
        <x:v>益智拼图礼盒</x:v>
      </x:c>
      <x:c r="D40" s="232" t="str">
        <x:f>INDEX('商品数据'!$B$6:$B$11,MATCH($E40,'商品数据'!$N$6:$N$11,0))</x:f>
        <x:v>TH-主店</x:v>
      </x:c>
      <x:c r="E40" s="258" t="n">
        <x:f>SMALL('商品数据'!$N$6:$N$11,ROW()-37)</x:f>
        <x:v>-0.42</x:v>
      </x:c>
      <x:c r="F40" s="234" t="str">
        <x:v>按 CVR 变化百分点升序</x:v>
      </x:c>
    </x:row>
    <x:row r="41" ht="22" customHeight="1">
      <x:c r="A41" s="231" t="n">
        <x:f>ROW()-37</x:f>
        <x:v>4</x:v>
      </x:c>
      <x:c r="B41" s="232" t="n">
        <x:f>INDEX('商品数据'!$C$6:$C$11,MATCH($E41,'商品数据'!$N$6:$N$11,0))</x:f>
        <x:v>100512</x:v>
      </x:c>
      <x:c r="C41" s="232" t="str">
        <x:f>INDEX('商品数据'!$D$6:$D$11,MATCH($E41,'商品数据'!$N$6:$N$11,0))</x:f>
        <x:v>折叠儿童画板</x:v>
      </x:c>
      <x:c r="D41" s="232" t="str">
        <x:f>INDEX('商品数据'!$B$6:$B$11,MATCH($E41,'商品数据'!$N$6:$N$11,0))</x:f>
        <x:v>US-日用店</x:v>
      </x:c>
      <x:c r="E41" s="258" t="n">
        <x:f>SMALL('商品数据'!$N$6:$N$11,ROW()-37)</x:f>
        <x:v>-0.24</x:v>
      </x:c>
      <x:c r="F41" s="234" t="str">
        <x:v>按 CVR 变化百分点升序</x:v>
      </x:c>
    </x:row>
    <x:row r="42" ht="22" customHeight="1">
      <x:c r="A42" s="235" t="n">
        <x:f>ROW()-37</x:f>
        <x:v>5</x:v>
      </x:c>
      <x:c r="B42" s="236" t="n">
        <x:f>INDEX('商品数据'!$C$6:$C$11,MATCH($E42,'商品数据'!$N$6:$N$11,0))</x:f>
        <x:v>100314</x:v>
      </x:c>
      <x:c r="C42" s="236" t="str">
        <x:f>INDEX('商品数据'!$D$6:$D$11,MATCH($E42,'商品数据'!$N$6:$N$11,0))</x:f>
        <x:v>儿童绘画水彩笔</x:v>
      </x:c>
      <x:c r="D42" s="236" t="str">
        <x:f>INDEX('商品数据'!$B$6:$B$11,MATCH($E42,'商品数据'!$N$6:$N$11,0))</x:f>
        <x:v>US-旗舰店</x:v>
      </x:c>
      <x:c r="E42" s="259" t="n">
        <x:f>SMALL('商品数据'!$N$6:$N$11,ROW()-37)</x:f>
        <x:v>0.38</x:v>
      </x:c>
      <x:c r="F42" s="238" t="str">
        <x:v>按 CVR 变化百分点升序</x:v>
      </x:c>
    </x:row>
  </x:sheetData>
  <x:mergeCells>
    <x:mergeCell ref="A1:F1"/>
    <x:mergeCell ref="A2:F2"/>
    <x:mergeCell ref="A4:F4"/>
    <x:mergeCell ref="A12:F12"/>
    <x:mergeCell ref="A20:F20"/>
    <x:mergeCell ref="A28:F28"/>
    <x:mergeCell ref="A36:F36"/>
  </x:mergeCells>
  <x:pageMargins left="0.7" right="0.7" top="0.75" bottom="0.75" header="0.3" footer="0.3"/>
  <x:tableParts count="20">
    <x:tablePart xmlns:r="http://schemas.openxmlformats.org/officeDocument/2006/relationships" r:id="R7357b81ca4c74283"/>
    <x:tablePart xmlns:r="http://schemas.openxmlformats.org/officeDocument/2006/relationships" r:id="R7baeba3e567b45ca"/>
    <x:tablePart xmlns:r="http://schemas.openxmlformats.org/officeDocument/2006/relationships" r:id="R7a80f1cd0cd74774"/>
    <x:tablePart xmlns:r="http://schemas.openxmlformats.org/officeDocument/2006/relationships" r:id="R54919b9ac5534b1c"/>
    <x:tablePart xmlns:r="http://schemas.openxmlformats.org/officeDocument/2006/relationships" r:id="R5868c63495f545df"/>
    <x:tablePart xmlns:r="http://schemas.openxmlformats.org/officeDocument/2006/relationships" r:id="R4ebcdf2059b3498e"/>
    <x:tablePart xmlns:r="http://schemas.openxmlformats.org/officeDocument/2006/relationships" r:id="R8d1a1f606dbe4b6f"/>
    <x:tablePart xmlns:r="http://schemas.openxmlformats.org/officeDocument/2006/relationships" r:id="R955338c87a044e0e"/>
    <x:tablePart xmlns:r="http://schemas.openxmlformats.org/officeDocument/2006/relationships" r:id="R116c3ad528c14029"/>
    <x:tablePart xmlns:r="http://schemas.openxmlformats.org/officeDocument/2006/relationships" r:id="R1ae2a8cbd83748cd"/>
    <x:tablePart xmlns:r="http://schemas.openxmlformats.org/officeDocument/2006/relationships" r:id="R78611875befe4676"/>
    <x:tablePart xmlns:r="http://schemas.openxmlformats.org/officeDocument/2006/relationships" r:id="Re655ba8c83bc4a81"/>
    <x:tablePart xmlns:r="http://schemas.openxmlformats.org/officeDocument/2006/relationships" r:id="Rbf1e2611dff8426d"/>
    <x:tablePart xmlns:r="http://schemas.openxmlformats.org/officeDocument/2006/relationships" r:id="Raeed514329ad4871"/>
    <x:tablePart xmlns:r="http://schemas.openxmlformats.org/officeDocument/2006/relationships" r:id="R62384a40ce9c441e"/>
    <x:tablePart xmlns:r="http://schemas.openxmlformats.org/officeDocument/2006/relationships" r:id="R1204de4d06f541c3"/>
    <x:tablePart xmlns:r="http://schemas.openxmlformats.org/officeDocument/2006/relationships" r:id="R8bb70954cbe748ae"/>
    <x:tablePart xmlns:r="http://schemas.openxmlformats.org/officeDocument/2006/relationships" r:id="R5fc85ca3cb5546c3"/>
    <x:tablePart xmlns:r="http://schemas.openxmlformats.org/officeDocument/2006/relationships" r:id="R75826d8e1d924671"/>
    <x:tablePart xmlns:r="http://schemas.openxmlformats.org/officeDocument/2006/relationships" r:id="R403c32a42dad42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4" hidden="0" customWidth="1"/>
    <x:col min="6" max="6" width="34" hidden="0" customWidth="1"/>
    <x:col min="7" max="7" width="14" hidden="0" customWidth="1"/>
    <x:col min="8" max="8" width="26" hidden="0" customWidth="1"/>
    <x:col min="5" max="5" width="12" hidden="0" customWidth="1"/>
  </x:cols>
  <x:sheetData>
    <x:row r="1" ht="28" customHeight="1">
      <x:c r="A1" s="173" t="str">
        <x:v>商品数据预警｜规则与处理队列</x:v>
      </x:c>
      <x:c r="B1" s="173"/>
      <x:c r="C1" s="173"/>
      <x:c r="D1" s="173"/>
      <x:c r="E1" s="173"/>
      <x:c r="F1" s="173"/>
      <x:c r="G1" s="173"/>
      <x:c r="H1" s="173"/>
    </x:row>
    <x:row r="2" ht="32" customHeight="1">
      <x:c r="A2" s="174" t="str">
        <x:v>预警规则对应网站“商品数据预警”页；黄色区可维护规则和处理记录，状态必须基于真实 T+1 / T+3 / T+7 数据。</x:v>
      </x:c>
      <x:c r="B2" s="174"/>
      <x:c r="C2" s="174"/>
      <x:c r="D2" s="174"/>
      <x:c r="E2" s="174"/>
      <x:c r="F2" s="174"/>
      <x:c r="G2" s="174"/>
      <x:c r="H2" s="174"/>
    </x:row>
    <x:row r="5" ht="30" customHeight="1">
      <x:c r="A5" s="260" t="str">
        <x:v>预警指标</x:v>
      </x:c>
      <x:c r="B5" s="261" t="str">
        <x:v>触发条件</x:v>
      </x:c>
      <x:c r="C5" s="261" t="str">
        <x:v>建议节点</x:v>
      </x:c>
      <x:c r="D5" s="262" t="str">
        <x:v>启用</x:v>
      </x:c>
      <x:c r="F5" s="260" t="str">
        <x:v>汇总指标</x:v>
      </x:c>
      <x:c r="G5" s="261" t="str">
        <x:v>当前值</x:v>
      </x:c>
      <x:c r="H5" s="262" t="str">
        <x:v>说明</x:v>
      </x:c>
    </x:row>
    <x:row r="6">
      <x:c r="A6" s="263" t="str">
        <x:v>曝光下降</x:v>
      </x:c>
      <x:c r="B6" s="264" t="str">
        <x:v>环比 &gt; 20%</x:v>
      </x:c>
      <x:c r="C6" s="264" t="str">
        <x:v>T+1</x:v>
      </x:c>
      <x:c r="D6" s="265" t="str">
        <x:v>是</x:v>
      </x:c>
      <x:c r="F6" s="269" t="str">
        <x:v>高风险预警</x:v>
      </x:c>
      <x:c r="G6" s="283" t="n">
        <x:f>COUNTIF('商品数据'!$Q$6:$Q$11,"需处理")</x:f>
        <x:v>2</x:v>
      </x:c>
      <x:c r="H6" s="271" t="str">
        <x:v>由商品数据的当前状态汇总</x:v>
      </x:c>
    </x:row>
    <x:row r="7">
      <x:c r="A7" s="263" t="str">
        <x:v>GMV 下降</x:v>
      </x:c>
      <x:c r="B7" s="264" t="str">
        <x:v>环比 &gt; 15%</x:v>
      </x:c>
      <x:c r="C7" s="264" t="str">
        <x:v>T+1 / T+3</x:v>
      </x:c>
      <x:c r="D7" s="265" t="str">
        <x:v>是</x:v>
      </x:c>
      <x:c r="F7" s="269" t="str">
        <x:v>中风险预警</x:v>
      </x:c>
      <x:c r="G7" s="284" t="n">
        <x:f>COUNTIF('商品数据'!$Q$6:$Q$11,"需观察")</x:f>
        <x:v>2</x:v>
      </x:c>
      <x:c r="H7" s="271" t="str">
        <x:v>由商品数据的当前状态汇总</x:v>
      </x:c>
    </x:row>
    <x:row r="8">
      <x:c r="A8" s="263" t="str">
        <x:v>CTR 下降</x:v>
      </x:c>
      <x:c r="B8" s="264" t="str">
        <x:v>下降 &gt; 0.5 个百分点</x:v>
      </x:c>
      <x:c r="C8" s="264" t="str">
        <x:v>T+1</x:v>
      </x:c>
      <x:c r="D8" s="265" t="str">
        <x:v>是</x:v>
      </x:c>
      <x:c r="F8" s="269" t="str">
        <x:v>低风险预警</x:v>
      </x:c>
      <x:c r="G8" s="285" t="n">
        <x:f>COUNTIF('商品数据'!$Q$6:$Q$11,"表现良好")</x:f>
        <x:v>2</x:v>
      </x:c>
      <x:c r="H8" s="271" t="str">
        <x:v>由商品数据的当前状态汇总</x:v>
      </x:c>
    </x:row>
    <x:row r="9">
      <x:c r="A9" s="263" t="str">
        <x:v>CVR 下降</x:v>
      </x:c>
      <x:c r="B9" s="264" t="str">
        <x:v>下降 &gt; 0.3 个百分点</x:v>
      </x:c>
      <x:c r="C9" s="264" t="str">
        <x:v>T+1 / T+3 / T+7</x:v>
      </x:c>
      <x:c r="D9" s="265" t="str">
        <x:v>是</x:v>
      </x:c>
      <x:c r="F9" s="269" t="str">
        <x:v>待处理商品</x:v>
      </x:c>
      <x:c r="G9" s="286" t="n">
        <x:f>COUNTIF('商品数据'!$Q$6:$Q$11,"需处理")</x:f>
        <x:v>2</x:v>
      </x:c>
      <x:c r="H9" s="271" t="str">
        <x:v>建议动作不为空的商品数</x:v>
      </x:c>
    </x:row>
    <x:row r="10">
      <x:c r="A10" s="266" t="str">
        <x:v>库存/承接异常</x:v>
      </x:c>
      <x:c r="B10" s="267" t="str">
        <x:v>需人工判断</x:v>
      </x:c>
      <x:c r="C10" s="267" t="str">
        <x:v>发现即处理</x:v>
      </x:c>
      <x:c r="D10" s="268" t="str">
        <x:v>是</x:v>
      </x:c>
      <x:c r="F10" s="272" t="str">
        <x:v>今日检测商品</x:v>
      </x:c>
      <x:c r="G10" s="287" t="n">
        <x:f>COUNTA('商品数据'!$C$6:$C$11)</x:f>
        <x:v>6</x:v>
      </x:c>
      <x:c r="H10" s="274" t="str">
        <x:v>当前日期窗口的商品记录数</x:v>
      </x:c>
    </x:row>
    <x:row r="13" ht="30" customHeight="1">
      <x:c r="A13" s="260" t="str">
        <x:v>商品ID</x:v>
      </x:c>
      <x:c r="B13" s="261" t="str">
        <x:v>店铺</x:v>
      </x:c>
      <x:c r="C13" s="261" t="str">
        <x:v>预警类型</x:v>
      </x:c>
      <x:c r="D13" s="261" t="str">
        <x:v>当前指标</x:v>
      </x:c>
      <x:c r="E13" s="261" t="str">
        <x:v>变化值</x:v>
      </x:c>
      <x:c r="F13" s="261" t="str">
        <x:v>建议动作</x:v>
      </x:c>
      <x:c r="G13" s="261" t="str">
        <x:v>处理状态</x:v>
      </x:c>
      <x:c r="H13" s="262" t="str">
        <x:v>证据/备注</x:v>
      </x:c>
    </x:row>
    <x:row r="14" ht="26" customHeight="1">
      <x:c r="A14" s="263" t="str">
        <x:v>100238</x:v>
      </x:c>
      <x:c r="B14" s="264" t="str">
        <x:v>US-日用店</x:v>
      </x:c>
      <x:c r="C14" s="264" t="str">
        <x:v>曝光下降</x:v>
      </x:c>
      <x:c r="D14" s="264" t="str">
        <x:v>曝光</x:v>
      </x:c>
      <x:c r="E14" s="275" t="n">
        <x:v>-28</x:v>
      </x:c>
      <x:c r="F14" s="264" t="str">
        <x:v>先核查推荐流量与主图承接</x:v>
      </x:c>
      <x:c r="G14" s="264" t="str">
        <x:v>待处理</x:v>
      </x:c>
      <x:c r="H14" s="265"/>
    </x:row>
    <x:row r="15" ht="26" customHeight="1">
      <x:c r="A15" s="263" t="str">
        <x:v>100407</x:v>
      </x:c>
      <x:c r="B15" s="264" t="str">
        <x:v>TH-主店</x:v>
      </x:c>
      <x:c r="C15" s="264" t="str">
        <x:v>CVR下降</x:v>
      </x:c>
      <x:c r="D15" s="264" t="str">
        <x:v>CVR</x:v>
      </x:c>
      <x:c r="E15" s="275" t="n">
        <x:v>-1.46</x:v>
      </x:c>
      <x:c r="F15" s="264" t="str">
        <x:v>检查广告落地页、流量来源和库存承接</x:v>
      </x:c>
      <x:c r="G15" s="264" t="str">
        <x:v>待处理</x:v>
      </x:c>
      <x:c r="H15" s="265"/>
    </x:row>
    <x:row r="16" ht="26" customHeight="1">
      <x:c r="A16" s="263" t="str">
        <x:v>100091</x:v>
      </x:c>
      <x:c r="B16" s="264" t="str">
        <x:v>TH-主店</x:v>
      </x:c>
      <x:c r="C16" s="264" t="str">
        <x:v>CVR下降</x:v>
      </x:c>
      <x:c r="D16" s="264" t="str">
        <x:v>CVR</x:v>
      </x:c>
      <x:c r="E16" s="275" t="n">
        <x:v>-0.42</x:v>
      </x:c>
      <x:c r="F16" s="264" t="str">
        <x:v>检查商品承接和优惠设置</x:v>
      </x:c>
      <x:c r="G16" s="264" t="str">
        <x:v>观察</x:v>
      </x:c>
      <x:c r="H16" s="265"/>
    </x:row>
    <x:row r="17" ht="26" customHeight="1">
      <x:c r="A17" s="263" t="str">
        <x:v>100512</x:v>
      </x:c>
      <x:c r="B17" s="264" t="str">
        <x:v>US-日用店</x:v>
      </x:c>
      <x:c r="C17" s="264" t="str">
        <x:v>CTR下降</x:v>
      </x:c>
      <x:c r="D17" s="264" t="str">
        <x:v>CTR</x:v>
      </x:c>
      <x:c r="E17" s="275" t="n">
        <x:v>-0.22</x:v>
      </x:c>
      <x:c r="F17" s="264" t="str">
        <x:v>继续观察，不单独判定异常</x:v>
      </x:c>
      <x:c r="G17" s="264" t="str">
        <x:v>观察</x:v>
      </x:c>
      <x:c r="H17" s="265"/>
    </x:row>
    <x:row r="18" ht="26" customHeight="1">
      <x:c r="A18" s="263"/>
      <x:c r="B18" s="264"/>
      <x:c r="C18" s="264"/>
      <x:c r="D18" s="264"/>
      <x:c r="E18" s="275"/>
      <x:c r="F18" s="264"/>
      <x:c r="G18" s="264" t="str">
        <x:v>待填写</x:v>
      </x:c>
      <x:c r="H18" s="265"/>
    </x:row>
    <x:row r="19" ht="26" customHeight="1">
      <x:c r="A19" s="266"/>
      <x:c r="B19" s="267"/>
      <x:c r="C19" s="267"/>
      <x:c r="D19" s="267"/>
      <x:c r="E19" s="276"/>
      <x:c r="F19" s="267"/>
      <x:c r="G19" s="267" t="str">
        <x:v>待填写</x:v>
      </x:c>
      <x:c r="H19" s="268"/>
    </x:row>
  </x:sheetData>
  <x:mergeCells>
    <x:mergeCell ref="A1:H1"/>
    <x:mergeCell ref="A2:H2"/>
  </x:mergeCells>
  <x:dataValidations count="2">
    <x:dataValidation type="list" sqref="D6:D10">
      <x:formula1>"是,否"</x:formula1>
    </x:dataValidation>
    <x:dataValidation type="list" sqref="G14:G19">
      <x:formula1>"待处理,观察,已处理,待填写"</x:formula1>
    </x:dataValidation>
  </x:dataValidations>
  <x:pageMargins left="0.7" right="0.7" top="0.75" bottom="0.75" header="0.3" footer="0.3"/>
  <x:tableParts count="12">
    <x:tablePart xmlns:r="http://schemas.openxmlformats.org/officeDocument/2006/relationships" r:id="Rdb4958d209464383"/>
    <x:tablePart xmlns:r="http://schemas.openxmlformats.org/officeDocument/2006/relationships" r:id="R7283bbd1c21b43d8"/>
    <x:tablePart xmlns:r="http://schemas.openxmlformats.org/officeDocument/2006/relationships" r:id="R2b18e034901a45b7"/>
    <x:tablePart xmlns:r="http://schemas.openxmlformats.org/officeDocument/2006/relationships" r:id="Rece4a406001642bc"/>
    <x:tablePart xmlns:r="http://schemas.openxmlformats.org/officeDocument/2006/relationships" r:id="Rcff78d8d23774d02"/>
    <x:tablePart xmlns:r="http://schemas.openxmlformats.org/officeDocument/2006/relationships" r:id="Rb7536223e2714e6f"/>
    <x:tablePart xmlns:r="http://schemas.openxmlformats.org/officeDocument/2006/relationships" r:id="Rcae34c32a4eb4e08"/>
    <x:tablePart xmlns:r="http://schemas.openxmlformats.org/officeDocument/2006/relationships" r:id="R46d2fca408aa42aa"/>
    <x:tablePart xmlns:r="http://schemas.openxmlformats.org/officeDocument/2006/relationships" r:id="R4e16034218ee4da4"/>
    <x:tablePart xmlns:r="http://schemas.openxmlformats.org/officeDocument/2006/relationships" r:id="R89a6ab0db90e443c"/>
    <x:tablePart xmlns:r="http://schemas.openxmlformats.org/officeDocument/2006/relationships" r:id="Rdb60dcfa4ef44928"/>
    <x:tablePart xmlns:r="http://schemas.openxmlformats.org/officeDocument/2006/relationships" r:id="R8f2cf813c94648b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6" hidden="0" customWidth="1"/>
    <x:col min="4" max="4" width="24" hidden="0" customWidth="1"/>
    <x:col min="5" max="5" width="16" hidden="0" customWidth="1"/>
    <x:col min="6" max="6" width="34" hidden="0" customWidth="1"/>
    <x:col min="7" max="7" width="16" hidden="0" customWidth="1"/>
    <x:col min="8" max="8" width="14" hidden="0" customWidth="1"/>
    <x:col min="9" max="9" width="12" hidden="0" customWidth="1"/>
    <x:col min="10" max="10" width="18" hidden="0" customWidth="1"/>
  </x:cols>
  <x:sheetData>
    <x:row r="1" ht="28" customHeight="1">
      <x:c r="A1" s="173" t="str">
        <x:v>运营知识库｜有效方法沉淀</x:v>
      </x:c>
      <x:c r="B1" s="173"/>
      <x:c r="C1" s="173"/>
      <x:c r="D1" s="173"/>
      <x:c r="E1" s="173"/>
      <x:c r="F1" s="173"/>
      <x:c r="G1" s="173"/>
      <x:c r="H1" s="173"/>
      <x:c r="I1" s="173"/>
      <x:c r="J1" s="173"/>
    </x:row>
    <x:row r="2" ht="32" customHeight="1">
      <x:c r="A2" s="174" t="str">
        <x:v>对应网站“运营知识库”页；只有有真实验证证据的动作才进入有效方法库，待验证动作留在运营动作表。</x:v>
      </x:c>
      <x:c r="B2" s="174"/>
      <x:c r="C2" s="174"/>
      <x:c r="D2" s="174"/>
      <x:c r="E2" s="174"/>
      <x:c r="F2" s="174"/>
      <x:c r="G2" s="174"/>
      <x:c r="H2" s="174"/>
      <x:c r="I2" s="174"/>
      <x:c r="J2" s="174"/>
    </x:row>
    <x:row r="5" ht="30" customHeight="1">
      <x:c r="A5" s="260" t="str">
        <x:v>方法ID</x:v>
      </x:c>
      <x:c r="B5" s="261" t="str">
        <x:v>方法标题</x:v>
      </x:c>
      <x:c r="C5" s="261" t="str">
        <x:v>分类</x:v>
      </x:c>
      <x:c r="D5" s="261" t="str">
        <x:v>适用场景</x:v>
      </x:c>
      <x:c r="E5" s="261" t="str">
        <x:v>验证商品/对象</x:v>
      </x:c>
      <x:c r="F5" s="261" t="str">
        <x:v>证据摘要</x:v>
      </x:c>
      <x:c r="G5" s="261" t="str">
        <x:v>验证状态</x:v>
      </x:c>
      <x:c r="H5" s="261" t="str">
        <x:v>负责人</x:v>
      </x:c>
      <x:c r="I5" s="261" t="str">
        <x:v>复用次数</x:v>
      </x:c>
      <x:c r="J5" s="262" t="str">
        <x:v>备注</x:v>
      </x:c>
    </x:row>
    <x:row r="6">
      <x:c r="A6" s="263" t="str">
        <x:v>KB-001</x:v>
      </x:c>
      <x:c r="B6" s="264" t="str">
        <x:v>替换首图并增加使用场景图</x:v>
      </x:c>
      <x:c r="C6" s="264" t="str">
        <x:v>主图优化</x:v>
      </x:c>
      <x:c r="D6" s="264" t="str">
        <x:v>曝光但承接弱</x:v>
      </x:c>
      <x:c r="E6" s="264" t="str">
        <x:v>100176</x:v>
      </x:c>
      <x:c r="F6" s="264" t="str">
        <x:v>T+1 CVR +0.8pp；T+3 CVR +1.7pp</x:v>
      </x:c>
      <x:c r="G6" s="291" t="str">
        <x:v>已验证有效</x:v>
      </x:c>
      <x:c r="H6" s="264" t="str">
        <x:v>运营A</x:v>
      </x:c>
      <x:c r="I6" s="288" t="n">
        <x:v>5</x:v>
      </x:c>
      <x:c r="J6" s="265"/>
    </x:row>
    <x:row r="7">
      <x:c r="A7" s="263" t="str">
        <x:v>KB-002</x:v>
      </x:c>
      <x:c r="B7" s="264" t="str">
        <x:v>组合装定价测试</x:v>
      </x:c>
      <x:c r="C7" s="264" t="str">
        <x:v>价格策略</x:v>
      </x:c>
      <x:c r="D7" s="264" t="str">
        <x:v>销量与 GMV 同时提升</x:v>
      </x:c>
      <x:c r="E7" s="264" t="str">
        <x:v>100314</x:v>
      </x:c>
      <x:c r="F7" s="264" t="str">
        <x:v>T+3 销量 +18%；T+7 GMV +26%</x:v>
      </x:c>
      <x:c r="G7" s="291" t="str">
        <x:v>已验证有效</x:v>
      </x:c>
      <x:c r="H7" s="264" t="str">
        <x:v>运营A</x:v>
      </x:c>
      <x:c r="I7" s="288" t="n">
        <x:v>3</x:v>
      </x:c>
      <x:c r="J7" s="265"/>
    </x:row>
    <x:row r="8">
      <x:c r="A8" s="263" t="str">
        <x:v>KB-003</x:v>
      </x:c>
      <x:c r="B8" s="264" t="str">
        <x:v>标题前置核心卖点</x:v>
      </x:c>
      <x:c r="C8" s="264" t="str">
        <x:v>标题优化</x:v>
      </x:c>
      <x:c r="D8" s="264" t="str">
        <x:v>CTR 有空间</x:v>
      </x:c>
      <x:c r="E8" s="264" t="str">
        <x:v>100238</x:v>
      </x:c>
      <x:c r="F8" s="264" t="str">
        <x:v>等待 T+1 数据回传</x:v>
      </x:c>
      <x:c r="G8" s="293" t="str">
        <x:v>待验证</x:v>
      </x:c>
      <x:c r="H8" s="264" t="str">
        <x:v>运营B</x:v>
      </x:c>
      <x:c r="I8" s="288" t="n">
        <x:v>0</x:v>
      </x:c>
      <x:c r="J8" s="265"/>
    </x:row>
    <x:row r="9">
      <x:c r="A9" s="263" t="str">
        <x:v>KB-004</x:v>
      </x:c>
      <x:c r="B9" s="264" t="str">
        <x:v>更换广告落地页</x:v>
      </x:c>
      <x:c r="C9" s="264" t="str">
        <x:v>广告投放</x:v>
      </x:c>
      <x:c r="D9" s="264" t="str">
        <x:v>广告点击后承接弱</x:v>
      </x:c>
      <x:c r="E9" s="264" t="str">
        <x:v>100407</x:v>
      </x:c>
      <x:c r="F9" s="264" t="str">
        <x:v>T+3 曝光未恢复，销量继续下降</x:v>
      </x:c>
      <x:c r="G9" s="295" t="str">
        <x:v>验证无效</x:v>
      </x:c>
      <x:c r="H9" s="264" t="str">
        <x:v>运营B</x:v>
      </x:c>
      <x:c r="I9" s="288" t="n">
        <x:v>0</x:v>
      </x:c>
      <x:c r="J9" s="265" t="str">
        <x:v>停止复用</x:v>
      </x:c>
    </x:row>
    <x:row r="10">
      <x:c r="A10" s="266" t="str">
        <x:v>KB-005</x:v>
      </x:c>
      <x:c r="B10" s="267"/>
      <x:c r="C10" s="267" t="str">
        <x:v>待填写</x:v>
      </x:c>
      <x:c r="D10" s="267"/>
      <x:c r="E10" s="267"/>
      <x:c r="F10" s="267"/>
      <x:c r="G10" s="297" t="str">
        <x:v>待填写</x:v>
      </x:c>
      <x:c r="H10" s="267"/>
      <x:c r="I10" s="289"/>
      <x:c r="J10" s="268"/>
    </x:row>
  </x:sheetData>
  <x:mergeCells>
    <x:mergeCell ref="A1:J1"/>
    <x:mergeCell ref="A2:J2"/>
  </x:mergeCells>
  <x:dataValidations count="1">
    <x:dataValidation type="list" sqref="G6:G100">
      <x:formula1>"已验证有效,待验证,验证无效,待填写"</x:formula1>
    </x:dataValidation>
  </x:dataValidations>
  <x:pageMargins left="0.7" right="0.7" top="0.75" bottom="0.75" header="0.3" footer="0.3"/>
  <x:tableParts count="4">
    <x:tablePart xmlns:r="http://schemas.openxmlformats.org/officeDocument/2006/relationships" r:id="Rdb6ad6c6f1ad475a"/>
    <x:tablePart xmlns:r="http://schemas.openxmlformats.org/officeDocument/2006/relationships" r:id="R83b8db6fa8e54f76"/>
    <x:tablePart xmlns:r="http://schemas.openxmlformats.org/officeDocument/2006/relationships" r:id="R31f8203221b44b0b"/>
    <x:tablePart xmlns:r="http://schemas.openxmlformats.org/officeDocument/2006/relationships" r:id="R39cd867827604b0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2" hidden="0" customWidth="1"/>
    <x:col min="4" max="4" width="28" hidden="0" customWidth="1"/>
    <x:col min="5" max="5" width="28" hidden="0" customWidth="1"/>
    <x:col min="6" max="6" width="28" hidden="0" customWidth="1"/>
    <x:col min="7" max="7" width="14" hidden="0" customWidth="1"/>
    <x:col min="8" max="8" width="14" hidden="0" customWidth="1"/>
    <x:col min="9" max="9" width="20" hidden="0" customWidth="1"/>
  </x:cols>
  <x:sheetData>
    <x:row r="1" ht="28" customHeight="1">
      <x:c r="A1" s="173" t="str">
        <x:v>Agent 调度中心｜运营任务登记</x:v>
      </x:c>
      <x:c r="B1" s="173"/>
      <x:c r="C1" s="173"/>
      <x:c r="D1" s="173"/>
      <x:c r="E1" s="173"/>
      <x:c r="F1" s="173"/>
      <x:c r="G1" s="173"/>
      <x:c r="H1" s="173"/>
      <x:c r="I1" s="173"/>
    </x:row>
    <x:row r="2" ht="32" customHeight="1">
      <x:c r="A2" s="174" t="str">
        <x:v>对应网站 Agent 调度中心；本表记录要调用哪个 Agent、处理什么输入以及输出是否已被运营复核。</x:v>
      </x:c>
      <x:c r="B2" s="174"/>
      <x:c r="C2" s="174"/>
      <x:c r="D2" s="174"/>
      <x:c r="E2" s="174"/>
      <x:c r="F2" s="174"/>
      <x:c r="G2" s="174"/>
      <x:c r="H2" s="174"/>
      <x:c r="I2" s="174"/>
    </x:row>
    <x:row r="5" ht="30" customHeight="1">
      <x:c r="A5" s="260" t="str">
        <x:v>任务日期</x:v>
      </x:c>
      <x:c r="B5" s="261" t="str">
        <x:v>Agent名称</x:v>
      </x:c>
      <x:c r="C5" s="261" t="str">
        <x:v>触发入口</x:v>
      </x:c>
      <x:c r="D5" s="261" t="str">
        <x:v>输入范围</x:v>
      </x:c>
      <x:c r="E5" s="261" t="str">
        <x:v>任务目标</x:v>
      </x:c>
      <x:c r="F5" s="261" t="str">
        <x:v>输出物</x:v>
      </x:c>
      <x:c r="G5" s="261" t="str">
        <x:v>状态</x:v>
      </x:c>
      <x:c r="H5" s="261" t="str">
        <x:v>复核人</x:v>
      </x:c>
      <x:c r="I5" s="262" t="str">
        <x:v>备注</x:v>
      </x:c>
    </x:row>
    <x:row r="6">
      <x:c r="A6" s="263" t="str">
        <x:v>2026-08-29</x:v>
      </x:c>
      <x:c r="B6" s="264" t="str">
        <x:v>AI日报生成 Agent</x:v>
      </x:c>
      <x:c r="C6" s="264" t="str">
        <x:v>经营总览</x:v>
      </x:c>
      <x:c r="D6" s="264" t="str">
        <x:v>店铺日汇总 + 商品数据</x:v>
      </x:c>
      <x:c r="E6" s="264" t="str">
        <x:v>结构化日报草稿</x:v>
      </x:c>
      <x:c r="F6" s="264" t="str">
        <x:v>待复核</x:v>
      </x:c>
      <x:c r="G6" s="293" t="str">
        <x:v>运营负责人</x:v>
      </x:c>
      <x:c r="H6" s="264"/>
      <x:c r="I6" s="265"/>
    </x:row>
    <x:row r="7">
      <x:c r="A7" s="263" t="str">
        <x:v>2026-08-29</x:v>
      </x:c>
      <x:c r="B7" s="264" t="str">
        <x:v>自动巡检 Agent</x:v>
      </x:c>
      <x:c r="C7" s="264" t="str">
        <x:v>商品数据预警</x:v>
      </x:c>
      <x:c r="D7" s="264" t="str">
        <x:v>商品数据 + T+1/T+3/T+7</x:v>
      </x:c>
      <x:c r="E7" s="264" t="str">
        <x:v>风险分级与优先队列</x:v>
      </x:c>
      <x:c r="F7" s="264" t="str">
        <x:v>运行中</x:v>
      </x:c>
      <x:c r="G7" s="293" t="str">
        <x:v>运营负责人</x:v>
      </x:c>
      <x:c r="H7" s="264"/>
      <x:c r="I7" s="265"/>
    </x:row>
    <x:row r="8">
      <x:c r="A8" s="263" t="str">
        <x:v>2026-08-29</x:v>
      </x:c>
      <x:c r="B8" s="264" t="str">
        <x:v>排行榜分析 Agent</x:v>
      </x:c>
      <x:c r="C8" s="264" t="str">
        <x:v>五组链接对比排行</x:v>
      </x:c>
      <x:c r="D8" s="264" t="str">
        <x:v>商品数据</x:v>
      </x:c>
      <x:c r="E8" s="264" t="str">
        <x:v>Top5 特征与可复用策略</x:v>
      </x:c>
      <x:c r="F8" s="264" t="str">
        <x:v>待调用</x:v>
      </x:c>
      <x:c r="G8" s="299"/>
      <x:c r="H8" s="264"/>
      <x:c r="I8" s="265"/>
    </x:row>
    <x:row r="9">
      <x:c r="A9" s="263" t="str">
        <x:v>2026-08-29</x:v>
      </x:c>
      <x:c r="B9" s="264" t="str">
        <x:v>增长分析 Agent</x:v>
      </x:c>
      <x:c r="C9" s="264" t="str">
        <x:v>GMV 上涨 Top5</x:v>
      </x:c>
      <x:c r="D9" s="264" t="str">
        <x:v>商品数据 + 运营动作</x:v>
      </x:c>
      <x:c r="E9" s="264" t="str">
        <x:v>上涨原因与方法沉淀</x:v>
      </x:c>
      <x:c r="F9" s="264" t="str">
        <x:v>待调用</x:v>
      </x:c>
      <x:c r="G9" s="299"/>
      <x:c r="H9" s="264"/>
      <x:c r="I9" s="265"/>
    </x:row>
    <x:row r="10">
      <x:c r="A10" s="263" t="str">
        <x:v>2026-08-29</x:v>
      </x:c>
      <x:c r="B10" s="264" t="str">
        <x:v>下滑诊断 Agent</x:v>
      </x:c>
      <x:c r="C10" s="264" t="str">
        <x:v>GMV/CVR 下降 Top5</x:v>
      </x:c>
      <x:c r="D10" s="264" t="str">
        <x:v>商品数据 + 广告计划</x:v>
      </x:c>
      <x:c r="E10" s="264" t="str">
        <x:v>下滑原因与挽回方案</x:v>
      </x:c>
      <x:c r="F10" s="264" t="str">
        <x:v>待调用</x:v>
      </x:c>
      <x:c r="G10" s="299"/>
      <x:c r="H10" s="264"/>
      <x:c r="I10" s="265"/>
    </x:row>
    <x:row r="11">
      <x:c r="A11" s="266"/>
      <x:c r="B11" s="267"/>
      <x:c r="C11" s="267"/>
      <x:c r="D11" s="267"/>
      <x:c r="E11" s="267"/>
      <x:c r="F11" s="267"/>
      <x:c r="G11" s="301" t="str">
        <x:v>待填写</x:v>
      </x:c>
      <x:c r="H11" s="267"/>
      <x:c r="I11" s="268"/>
    </x:row>
  </x:sheetData>
  <x:mergeCells>
    <x:mergeCell ref="A1:I1"/>
    <x:mergeCell ref="A2:I2"/>
  </x:mergeCells>
  <x:dataValidations count="1">
    <x:dataValidation type="list" sqref="G6:G100">
      <x:formula1>"待调用,运行中,待复核,已完成,已暂停,待填写"</x:formula1>
    </x:dataValidation>
  </x:dataValidations>
  <x:pageMargins left="0.7" right="0.7" top="0.75" bottom="0.75" header="0.3" footer="0.3"/>
  <x:tableParts count="4">
    <x:tablePart xmlns:r="http://schemas.openxmlformats.org/officeDocument/2006/relationships" r:id="Rbaee334c7bca4a01"/>
    <x:tablePart xmlns:r="http://schemas.openxmlformats.org/officeDocument/2006/relationships" r:id="Re5b90df1b11b4e64"/>
    <x:tablePart xmlns:r="http://schemas.openxmlformats.org/officeDocument/2006/relationships" r:id="Rf48e540672f24465"/>
    <x:tablePart xmlns:r="http://schemas.openxmlformats.org/officeDocument/2006/relationships" r:id="R210c574442c34b28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6" hidden="0" customWidth="1"/>
    <x:col min="3" max="3" width="42" hidden="0" customWidth="1"/>
    <x:col min="4" max="4" width="32" hidden="0" customWidth="1"/>
  </x:cols>
  <x:sheetData>
    <x:row r="1" ht="28" customHeight="1">
      <x:c r="A1" s="173" t="str">
        <x:v>云文档说明｜WPS/Kdocs 使用流程</x:v>
      </x:c>
      <x:c r="B1" s="173"/>
      <x:c r="C1" s="173"/>
      <x:c r="D1" s="173"/>
    </x:row>
    <x:row r="2" ht="32" customHeight="1">
      <x:c r="A2" s="174" t="str">
        <x:v>这张表是给运营看的操作说明；填报数据请回到黄色输入区域，公式排行和预警汇总不要手工改写。</x:v>
      </x:c>
      <x:c r="B2" s="174"/>
      <x:c r="C2" s="174"/>
      <x:c r="D2" s="174"/>
    </x:row>
    <x:row r="5" ht="30" customHeight="1">
      <x:c r="A5" s="309" t="str">
        <x:v>步骤</x:v>
      </x:c>
      <x:c r="B5" s="310" t="str">
        <x:v>运营操作</x:v>
      </x:c>
      <x:c r="C5" s="310" t="str">
        <x:v>涉及工作表</x:v>
      </x:c>
      <x:c r="D5" s="311" t="str">
        <x:v>网站对应页面</x:v>
      </x:c>
    </x:row>
    <x:row r="6" ht="28" customHeight="1">
      <x:c r="A6" s="263" t="str">
        <x:v>1</x:v>
      </x:c>
      <x:c r="B6" s="264" t="str">
        <x:v>上传本文件到 WPS/Kdocs，设置团队协作权限</x:v>
      </x:c>
      <x:c r="C6" s="264" t="str">
        <x:v>整本工作簿</x:v>
      </x:c>
      <x:c r="D6" s="265" t="str">
        <x:v>数据接入</x:v>
      </x:c>
    </x:row>
    <x:row r="7" ht="28" customHeight="1">
      <x:c r="A7" s="263" t="str">
        <x:v>2</x:v>
      </x:c>
      <x:c r="B7" s="264" t="str">
        <x:v>先维护店铺字典，再填写店铺、商品和已执行动作</x:v>
      </x:c>
      <x:c r="C7" s="264" t="str">
        <x:v>店铺字典 / 店铺日汇总 / 商品数据 / 运营动作</x:v>
      </x:c>
      <x:c r="D7" s="265" t="str">
        <x:v>经营总览 / 商品数据预警</x:v>
      </x:c>
    </x:row>
    <x:row r="8" ht="28" customHeight="1">
      <x:c r="A8" s="263" t="str">
        <x:v>3</x:v>
      </x:c>
      <x:c r="B8" s="264" t="str">
        <x:v>核对五组排行、预警队列、Agent 任务和知识库</x:v>
      </x:c>
      <x:c r="C8" s="264" t="str">
        <x:v>五组排行 / 预警规则 / Agent调度 / 运营知识库</x:v>
      </x:c>
      <x:c r="D8" s="265" t="str">
        <x:v>经营总览 / Agent 调度中心 / 运营知识库</x:v>
      </x:c>
    </x:row>
    <x:row r="9" ht="28" customHeight="1">
      <x:c r="A9" s="263" t="str">
        <x:v>4</x:v>
      </x:c>
      <x:c r="B9" s="264" t="str">
        <x:v>导出 CSV 或交给后端 API；静态 GitHub Pages 不会自动读取私有文档</x:v>
      </x:c>
      <x:c r="C9" s="264" t="str">
        <x:v>按字段字典映射</x:v>
      </x:c>
      <x:c r="D9" s="265" t="str">
        <x:v>数据接入</x:v>
      </x:c>
    </x:row>
    <x:row r="10" ht="28" customHeight="1">
      <x:c r="A10" s="266" t="str">
        <x:v>注意</x:v>
      </x:c>
      <x:c r="B10" s="267" t="str">
        <x:v>当前内容是演示模板；真实数据请保持缺失为空，不能用 0 代替未知。</x:v>
      </x:c>
      <x:c r="C10" s="267" t="str">
        <x:v>字段字典</x:v>
      </x:c>
      <x:c r="D10" s="268" t="str">
        <x:v>全部页面</x:v>
      </x:c>
    </x:row>
    <x:row r="12" ht="38" customHeight="1">
      <x:c r="A12" s="186" t="str">
        <x:v>公开网站当前为静态演示版。WPS/Kdocs 文档可以作为统一填报源，但真实数据自动刷新仍需要后端同步/API 和认证权限。</x:v>
      </x:c>
      <x:c r="B12" s="186"/>
      <x:c r="C12" s="186"/>
      <x:c r="D12" s="186"/>
    </x:row>
  </x:sheetData>
  <x:mergeCells>
    <x:mergeCell ref="A1:D1"/>
    <x:mergeCell ref="A2:D2"/>
    <x:mergeCell ref="A12:D12"/>
  </x:mergeCells>
  <x:pageMargins left="0.7" right="0.7" top="0.75" bottom="0.75" header="0.3" footer="0.3"/>
  <x:tableParts count="2">
    <x:tablePart xmlns:r="http://schemas.openxmlformats.org/officeDocument/2006/relationships" r:id="R36e06dad58184947"/>
    <x:tablePart xmlns:r="http://schemas.openxmlformats.org/officeDocument/2006/relationships" r:id="Rdc94cabd287145b5"/>
  </x:tableParts>
</x:worksheet>
</file>